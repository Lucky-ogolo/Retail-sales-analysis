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25F248A8-31BC-413D-A0B1-77FEA7B413A1}" xr6:coauthVersionLast="47" xr6:coauthVersionMax="47" xr10:uidLastSave="{00000000-0000-0000-0000-000000000000}"/>
  <bookViews>
    <workbookView xWindow="-104" yWindow="-104" windowWidth="22326" windowHeight="11947" activeTab="1" xr2:uid="{4891ACEE-C1E4-4CF0-BAC3-E5EEE58D3257}"/>
  </bookViews>
  <sheets>
    <sheet name="Analysis" sheetId="2" r:id="rId1"/>
    <sheet name="Sheet5" sheetId="5" r:id="rId2"/>
  </sheets>
  <definedNames>
    <definedName name="Slicer_Region">#N/A</definedName>
    <definedName name="Timeline_Date">#N/A</definedName>
  </definedNames>
  <calcPr calcId="191029"/>
  <pivotCaches>
    <pivotCache cacheId="374" r:id="rId3"/>
    <pivotCache cacheId="377" r:id="rId4"/>
    <pivotCache cacheId="380" r:id="rId5"/>
    <pivotCache cacheId="383" r:id="rId6"/>
    <pivotCache cacheId="386" r:id="rId7"/>
    <pivotCache cacheId="389" r:id="rId8"/>
    <pivotCache cacheId="392" r:id="rId9"/>
    <pivotCache cacheId="395" r:id="rId10"/>
    <pivotCache cacheId="398" r:id="rId11"/>
    <pivotCache cacheId="401"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_sales_83e12bcc-4548-4767-99a2-c0cb986af296" name="retail_sales" connection="Query - retail_sales"/>
          <x15:modelTable id="Date_2b8e28ab-4cdf-4a92-befb-04be8e83cf28" name="Date" connection="Query - Date"/>
        </x15:modelTables>
        <x15:modelRelationships>
          <x15:modelRelationship fromTable="retail_sales" fromColumn="Date"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4AE9AD-0320-41A4-AD19-C70F12A22451}" name="Query - Date" description="Connection to the 'Date' query in the workbook." type="100" refreshedVersion="8" minRefreshableVersion="5">
    <extLst>
      <ext xmlns:x15="http://schemas.microsoft.com/office/spreadsheetml/2010/11/main" uri="{DE250136-89BD-433C-8126-D09CA5730AF9}">
        <x15:connection id="53abc009-d95e-4b65-bab5-d6b6150b72ec">
          <x15:oledbPr connection="Provider=Microsoft.Mashup.OleDb.1;Data Source=$Workbook$;Location=Date;Extended Properties=&quot;&quot;">
            <x15:dbTables>
              <x15:dbTable name="Date"/>
            </x15:dbTables>
          </x15:oledbPr>
        </x15:connection>
      </ext>
    </extLst>
  </connection>
  <connection id="2" xr16:uid="{CDF7EFF7-DAC0-4F24-B535-88A67772CC6E}" name="Query - retail_sales" description="Connection to the 'retail_sales' query in the workbook." type="100" refreshedVersion="8" minRefreshableVersion="5">
    <extLst>
      <ext xmlns:x15="http://schemas.microsoft.com/office/spreadsheetml/2010/11/main" uri="{DE250136-89BD-433C-8126-D09CA5730AF9}">
        <x15:connection id="a7df5e9b-870b-4c9f-98d7-b4d660a2a479"/>
      </ext>
    </extLst>
  </connection>
  <connection id="3" xr16:uid="{3777732E-C3CD-4089-A1B5-B9D55E80232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<sst xmlns="http://schemas.openxmlformats.org/spreadsheetml/2006/main" count="73" uniqueCount="35">
  <si>
    <t>Revenue</t>
  </si>
  <si>
    <t>Total Profit</t>
  </si>
  <si>
    <t>Total Quantity</t>
  </si>
  <si>
    <t>Clothing</t>
  </si>
  <si>
    <t>South</t>
  </si>
  <si>
    <t>Books</t>
  </si>
  <si>
    <t>Electronics</t>
  </si>
  <si>
    <t>Home Goods</t>
  </si>
  <si>
    <t>Sports</t>
  </si>
  <si>
    <t>West</t>
  </si>
  <si>
    <t>North</t>
  </si>
  <si>
    <t>Profit Margin</t>
  </si>
  <si>
    <t>PM Revenue</t>
  </si>
  <si>
    <t>Row Labels</t>
  </si>
  <si>
    <t>Grand Total</t>
  </si>
  <si>
    <t>Mom Revenue</t>
  </si>
  <si>
    <t>MoM Qty</t>
  </si>
  <si>
    <t>MoM Profit</t>
  </si>
  <si>
    <t>Pm Qnty</t>
  </si>
  <si>
    <t>PM Profit</t>
  </si>
  <si>
    <t>Wk1</t>
  </si>
  <si>
    <t>Wk2</t>
  </si>
  <si>
    <t>Wk3</t>
  </si>
  <si>
    <t>Wk4</t>
  </si>
  <si>
    <t>Wk5</t>
  </si>
  <si>
    <t>Wk6</t>
  </si>
  <si>
    <t>SalesBYweeK</t>
  </si>
  <si>
    <t>RevBYcategory</t>
  </si>
  <si>
    <t>RevBYRegion</t>
  </si>
  <si>
    <t>East</t>
  </si>
  <si>
    <t>Not available</t>
  </si>
  <si>
    <t>QtyweeK</t>
  </si>
  <si>
    <t>profitweeK</t>
  </si>
  <si>
    <t>QtYcategory</t>
  </si>
  <si>
    <t>Profitcategory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</si>
</sst>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0.0%"/>
    <numFmt numFmtId="165" formatCode="[&gt;=1000000]&quot;$&quot;0.00,,&quot;M&quot;;[&gt;=1000]&quot;$&quot;0.00,&quot;K&quot;;&quot;$&quot;0.00"/>
    <numFmt numFmtId="166" formatCode="[Green]\▲0.0%;[Red]\▼0.0%"/>
    <numFmt numFmtId="167" formatCode="_(* #,##0_);_(* \(#,##0\);_(* &quot;-&quot;??_);_(@_)"/>
    <numFmt numFmtId="168" formatCode="[&gt;=1000000]&quot;$&quot;0,,&quot;M&quot;;[&gt;=1000]&quot;$&quot;0,&quot;K&quot;;&quot;$&quot;0"/>
    <numFmt numFmtId="169" formatCode="[&gt;=1000000]0.0,,&quot;M&quot;;[&gt;=1000]0.0,&quot;K&quot;;0.0"/>
  </numFmts>
  <fonts count="1" x14ac:knownFonts="1">
    <font>
      <sz val="11"/>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rgb="FF222126"/>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164" fontId="0" fillId="0" borderId="0" xfId="0" applyNumberFormat="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3" borderId="0" xfId="0" applyFill="1"/>
    <xf numFmtId="168" fontId="0" fillId="0" borderId="0" xfId="0" applyNumberFormat="1"/>
    <xf numFmtId="169" fontId="0" fillId="0" borderId="0" xfId="0" applyNumberFormat="1"/>
    <xf numFmtId="0" fontId="0" fillId="2" borderId="0" xfId="0" applyFill="1" applyAlignment="1">
      <alignment horizontal="center"/>
    </xf>
    <xf numFmtId="44" fontId="0" fillId="0" borderId="0" xfId="0" applyNumberFormat="1"/>
  </cellXfs>
  <cellStyles count="1">
    <cellStyle name="Normal" xfId="0" builtinId="0"/>
  </cellStyles>
  <dxfs count="129">
    <dxf>
      <numFmt numFmtId="165" formatCode="[&gt;=1000000]&quot;$&quot;0.00,,&quot;M&quot;;[&gt;=1000]&quot;$&quot;0.00,&quot;K&quot;;&quot;$&quot;0.00"/>
    </dxf>
    <dxf>
      <numFmt numFmtId="168" formatCode="[&gt;=1000000]&quot;$&quot;0,,&quot;M&quot;;[&gt;=1000]&quot;$&quot;0,&quot;K&quot;;&quot;$&quot;0"/>
    </dxf>
    <dxf>
      <numFmt numFmtId="0" formatCode="General"/>
    </dxf>
    <dxf>
      <numFmt numFmtId="169" formatCode="[&gt;=1000000]0.0,,&quot;M&quot;;[&gt;=1000]0.0,&quot;K&quot;;0.0"/>
    </dxf>
    <dxf>
      <numFmt numFmtId="34" formatCode="_(&quot;$&quot;* #,##0.00_);_(&quot;$&quot;* \(#,##0.00\);_(&quot;$&quot;* &quot;-&quot;??_);_(@_)"/>
    </dxf>
    <dxf>
      <numFmt numFmtId="165" formatCode="[&gt;=1000000]&quot;$&quot;0.00,,&quot;M&quot;;[&gt;=1000]&quot;$&quot;0.00,&quot;K&quot;;&quot;$&quot;0.00"/>
    </dxf>
    <dxf>
      <numFmt numFmtId="169" formatCode="[&gt;=1000000]0.0,,&quot;M&quot;;[&gt;=1000]0.0,&quot;K&quot;;0.0"/>
    </dxf>
    <dxf>
      <numFmt numFmtId="165" formatCode="[&gt;=1000000]&quot;$&quot;0.00,,&quot;M&quot;;[&gt;=1000]&quot;$&quot;0.00,&quot;K&quot;;&quot;$&quot;0.00"/>
    </dxf>
    <dxf>
      <numFmt numFmtId="168" formatCode="[&gt;=1000000]&quot;$&quot;0,,&quot;M&quot;;[&gt;=1000]&quot;$&quot;0,&quot;K&quot;;&quot;$&quot;0"/>
    </dxf>
    <dxf>
      <numFmt numFmtId="165" formatCode="[&gt;=1000000]&quot;$&quot;0.00,,&quot;M&quot;;[&gt;=1000]&quot;$&quot;0.00,&quot;K&quot;;&quot;$&quot;0.00"/>
    </dxf>
    <dxf>
      <numFmt numFmtId="167" formatCode="_(* #,##0_);_(* \(#,##0\);_(* &quot;-&quot;??_);_(@_)"/>
    </dxf>
    <dxf>
      <numFmt numFmtId="34" formatCode="_(&quot;$&quot;* #,##0.00_);_(&quot;$&quot;* \(#,##0.00\);_(&quot;$&quot;* &quot;-&quot;??_);_(@_)"/>
    </dxf>
    <dxf>
      <numFmt numFmtId="164" formatCode="0.0%"/>
    </dxf>
    <dxf>
      <numFmt numFmtId="165" formatCode="[&gt;=1000000]&quot;$&quot;0.00,,&quot;M&quot;;[&gt;=1000]&quot;$&quot;0.00,&quot;K&quot;;&quot;$&quot;0.00"/>
    </dxf>
    <dxf>
      <numFmt numFmtId="167" formatCode="_(* #,##0_);_(* \(#,##0\);_(* &quot;-&quot;??_);_(@_)"/>
    </dxf>
    <dxf>
      <numFmt numFmtId="166" formatCode="[Green]\▲0.0%;[Red]\▼0.0%"/>
    </dxf>
    <dxf>
      <numFmt numFmtId="166" formatCode="[Green]\▲0.0%;[Red]\▼0.0%"/>
    </dxf>
    <dxf>
      <numFmt numFmtId="165" formatCode="[&gt;=1000000]&quot;$&quot;0.00,,&quot;M&quot;;[&gt;=1000]&quot;$&quot;0.00,&quot;K&quot;;&quot;$&quot;0.00"/>
    </dxf>
    <dxf>
      <numFmt numFmtId="34" formatCode="_(&quot;$&quot;* #,##0.00_);_(&quot;$&quot;* \(#,##0.00\);_(&quot;$&quot;* &quot;-&quot;??_);_(@_)"/>
    </dxf>
    <dxf>
      <numFmt numFmtId="165" formatCode="[&gt;=1000000]&quot;$&quot;0.00,,&quot;M&quot;;[&gt;=1000]&quot;$&quot;0.00,&quot;K&quot;;&quot;$&quot;0.00"/>
    </dxf>
    <dxf>
      <numFmt numFmtId="166" formatCode="[Green]\▲0.0%;[Red]\▼0.0%"/>
    </dxf>
    <dxf>
      <numFmt numFmtId="165" formatCode="[&gt;=1000000]&quot;$&quot;0.00,,&quot;M&quot;;[&gt;=1000]&quot;$&quot;0.00,&quot;K&quot;;&quot;$&quot;0.00"/>
    </dxf>
    <dxf>
      <numFmt numFmtId="168" formatCode="[&gt;=1000000]&quot;$&quot;0,,&quot;M&quot;;[&gt;=1000]&quot;$&quot;0,&quot;K&quot;;&quot;$&quot;0"/>
    </dxf>
    <dxf>
      <numFmt numFmtId="0" formatCode="General"/>
    </dxf>
    <dxf>
      <numFmt numFmtId="169" formatCode="[&gt;=1000000]0.0,,&quot;M&quot;;[&gt;=1000]0.0,&quot;K&quot;;0.0"/>
    </dxf>
    <dxf>
      <numFmt numFmtId="34" formatCode="_(&quot;$&quot;* #,##0.00_);_(&quot;$&quot;* \(#,##0.00\);_(&quot;$&quot;* &quot;-&quot;??_);_(@_)"/>
    </dxf>
    <dxf>
      <numFmt numFmtId="165" formatCode="[&gt;=1000000]&quot;$&quot;0.00,,&quot;M&quot;;[&gt;=1000]&quot;$&quot;0.00,&quot;K&quot;;&quot;$&quot;0.00"/>
    </dxf>
    <dxf>
      <numFmt numFmtId="169" formatCode="[&gt;=1000000]0.0,,&quot;M&quot;;[&gt;=1000]0.0,&quot;K&quot;;0.0"/>
    </dxf>
    <dxf>
      <numFmt numFmtId="165" formatCode="[&gt;=1000000]&quot;$&quot;0.00,,&quot;M&quot;;[&gt;=1000]&quot;$&quot;0.00,&quot;K&quot;;&quot;$&quot;0.00"/>
    </dxf>
    <dxf>
      <numFmt numFmtId="168" formatCode="[&gt;=1000000]&quot;$&quot;0,,&quot;M&quot;;[&gt;=1000]&quot;$&quot;0,&quot;K&quot;;&quot;$&quot;0"/>
    </dxf>
    <dxf>
      <numFmt numFmtId="165" formatCode="[&gt;=1000000]&quot;$&quot;0.00,,&quot;M&quot;;[&gt;=1000]&quot;$&quot;0.00,&quot;K&quot;;&quot;$&quot;0.00"/>
    </dxf>
    <dxf>
      <numFmt numFmtId="167" formatCode="_(* #,##0_);_(* \(#,##0\);_(* &quot;-&quot;??_);_(@_)"/>
    </dxf>
    <dxf>
      <numFmt numFmtId="34" formatCode="_(&quot;$&quot;* #,##0.00_);_(&quot;$&quot;* \(#,##0.00\);_(&quot;$&quot;* &quot;-&quot;??_);_(@_)"/>
    </dxf>
    <dxf>
      <numFmt numFmtId="165" formatCode="[&gt;=1000000]&quot;$&quot;0.00,,&quot;M&quot;;[&gt;=1000]&quot;$&quot;0.00,&quot;K&quot;;&quot;$&quot;0.00"/>
    </dxf>
    <dxf>
      <numFmt numFmtId="166" formatCode="[Green]\▲0.0%;[Red]\▼0.0%"/>
    </dxf>
    <dxf>
      <numFmt numFmtId="34" formatCode="_(&quot;$&quot;* #,##0.00_);_(&quot;$&quot;* \(#,##0.00\);_(&quot;$&quot;* &quot;-&quot;??_);_(@_)"/>
    </dxf>
    <dxf>
      <numFmt numFmtId="164" formatCode="0.0%"/>
    </dxf>
    <dxf>
      <numFmt numFmtId="165" formatCode="[&gt;=1000000]&quot;$&quot;0.00,,&quot;M&quot;;[&gt;=1000]&quot;$&quot;0.00,&quot;K&quot;;&quot;$&quot;0.00"/>
    </dxf>
    <dxf>
      <numFmt numFmtId="167" formatCode="_(* #,##0_);_(* \(#,##0\);_(* &quot;-&quot;??_);_(@_)"/>
    </dxf>
    <dxf>
      <numFmt numFmtId="166" formatCode="[Green]\▲0.0%;[Red]\▼0.0%"/>
    </dxf>
    <dxf>
      <numFmt numFmtId="166" formatCode="[Green]\▲0.0%;[Red]\▼0.0%"/>
    </dxf>
    <dxf>
      <numFmt numFmtId="165" formatCode="[&gt;=1000000]&quot;$&quot;0.00,,&quot;M&quot;;[&gt;=1000]&quot;$&quot;0.00,&quot;K&quot;;&quot;$&quot;0.00"/>
    </dxf>
    <dxf>
      <numFmt numFmtId="165" formatCode="[&gt;=1000000]&quot;$&quot;0.00,,&quot;M&quot;;[&gt;=1000]&quot;$&quot;0.00,&quot;K&quot;;&quot;$&quot;0.00"/>
    </dxf>
    <dxf>
      <numFmt numFmtId="168" formatCode="[&gt;=1000000]&quot;$&quot;0,,&quot;M&quot;;[&gt;=1000]&quot;$&quot;0,&quot;K&quot;;&quot;$&quot;0"/>
    </dxf>
    <dxf>
      <numFmt numFmtId="0" formatCode="General"/>
    </dxf>
    <dxf>
      <numFmt numFmtId="169" formatCode="[&gt;=1000000]0.0,,&quot;M&quot;;[&gt;=1000]0.0,&quot;K&quot;;0.0"/>
    </dxf>
    <dxf>
      <numFmt numFmtId="34" formatCode="_(&quot;$&quot;* #,##0.00_);_(&quot;$&quot;* \(#,##0.00\);_(&quot;$&quot;* &quot;-&quot;??_);_(@_)"/>
    </dxf>
    <dxf>
      <numFmt numFmtId="165" formatCode="[&gt;=1000000]&quot;$&quot;0.00,,&quot;M&quot;;[&gt;=1000]&quot;$&quot;0.00,&quot;K&quot;;&quot;$&quot;0.00"/>
    </dxf>
    <dxf>
      <numFmt numFmtId="169" formatCode="[&gt;=1000000]0.0,,&quot;M&quot;;[&gt;=1000]0.0,&quot;K&quot;;0.0"/>
    </dxf>
    <dxf>
      <numFmt numFmtId="165" formatCode="[&gt;=1000000]&quot;$&quot;0.00,,&quot;M&quot;;[&gt;=1000]&quot;$&quot;0.00,&quot;K&quot;;&quot;$&quot;0.00"/>
    </dxf>
    <dxf>
      <numFmt numFmtId="168" formatCode="[&gt;=1000000]&quot;$&quot;0,,&quot;M&quot;;[&gt;=1000]&quot;$&quot;0,&quot;K&quot;;&quot;$&quot;0"/>
    </dxf>
    <dxf>
      <numFmt numFmtId="165" formatCode="[&gt;=1000000]&quot;$&quot;0.00,,&quot;M&quot;;[&gt;=1000]&quot;$&quot;0.00,&quot;K&quot;;&quot;$&quot;0.00"/>
    </dxf>
    <dxf>
      <numFmt numFmtId="167" formatCode="_(* #,##0_);_(* \(#,##0\);_(* &quot;-&quot;??_);_(@_)"/>
    </dxf>
    <dxf>
      <numFmt numFmtId="34" formatCode="_(&quot;$&quot;* #,##0.00_);_(&quot;$&quot;* \(#,##0.00\);_(&quot;$&quot;* &quot;-&quot;??_);_(@_)"/>
    </dxf>
    <dxf>
      <numFmt numFmtId="164" formatCode="0.0%"/>
    </dxf>
    <dxf>
      <numFmt numFmtId="165" formatCode="[&gt;=1000000]&quot;$&quot;0.00,,&quot;M&quot;;[&gt;=1000]&quot;$&quot;0.00,&quot;K&quot;;&quot;$&quot;0.00"/>
    </dxf>
    <dxf>
      <numFmt numFmtId="167" formatCode="_(* #,##0_);_(* \(#,##0\);_(* &quot;-&quot;??_);_(@_)"/>
    </dxf>
    <dxf>
      <numFmt numFmtId="166" formatCode="[Green]\▲0.0%;[Red]\▼0.0%"/>
    </dxf>
    <dxf>
      <numFmt numFmtId="166" formatCode="[Green]\▲0.0%;[Red]\▼0.0%"/>
    </dxf>
    <dxf>
      <numFmt numFmtId="165" formatCode="[&gt;=1000000]&quot;$&quot;0.00,,&quot;M&quot;;[&gt;=1000]&quot;$&quot;0.00,&quot;K&quot;;&quot;$&quot;0.00"/>
    </dxf>
    <dxf>
      <numFmt numFmtId="34" formatCode="_(&quot;$&quot;* #,##0.00_);_(&quot;$&quot;* \(#,##0.00\);_(&quot;$&quot;* &quot;-&quot;??_);_(@_)"/>
    </dxf>
    <dxf>
      <numFmt numFmtId="165" formatCode="[&gt;=1000000]&quot;$&quot;0.00,,&quot;M&quot;;[&gt;=1000]&quot;$&quot;0.00,&quot;K&quot;;&quot;$&quot;0.00"/>
    </dxf>
    <dxf>
      <numFmt numFmtId="166" formatCode="[Green]\▲0.0%;[Red]\▼0.0%"/>
    </dxf>
    <dxf>
      <numFmt numFmtId="165" formatCode="[&gt;=1000000]&quot;$&quot;0.00,,&quot;M&quot;;[&gt;=1000]&quot;$&quot;0.00,&quot;K&quot;;&quot;$&quot;0.00"/>
    </dxf>
    <dxf>
      <numFmt numFmtId="168" formatCode="[&gt;=1000000]&quot;$&quot;0,,&quot;M&quot;;[&gt;=1000]&quot;$&quot;0,&quot;K&quot;;&quot;$&quot;0"/>
    </dxf>
    <dxf>
      <numFmt numFmtId="0" formatCode="General"/>
    </dxf>
    <dxf>
      <numFmt numFmtId="169" formatCode="[&gt;=1000000]0.0,,&quot;M&quot;;[&gt;=1000]0.0,&quot;K&quot;;0.0"/>
    </dxf>
    <dxf>
      <numFmt numFmtId="34" formatCode="_(&quot;$&quot;* #,##0.00_);_(&quot;$&quot;* \(#,##0.00\);_(&quot;$&quot;* &quot;-&quot;??_);_(@_)"/>
    </dxf>
    <dxf>
      <numFmt numFmtId="165" formatCode="[&gt;=1000000]&quot;$&quot;0.00,,&quot;M&quot;;[&gt;=1000]&quot;$&quot;0.00,&quot;K&quot;;&quot;$&quot;0.00"/>
    </dxf>
    <dxf>
      <numFmt numFmtId="169" formatCode="[&gt;=1000000]0.0,,&quot;M&quot;;[&gt;=1000]0.0,&quot;K&quot;;0.0"/>
    </dxf>
    <dxf>
      <numFmt numFmtId="165" formatCode="[&gt;=1000000]&quot;$&quot;0.00,,&quot;M&quot;;[&gt;=1000]&quot;$&quot;0.00,&quot;K&quot;;&quot;$&quot;0.00"/>
    </dxf>
    <dxf>
      <numFmt numFmtId="168" formatCode="[&gt;=1000000]&quot;$&quot;0,,&quot;M&quot;;[&gt;=1000]&quot;$&quot;0,&quot;K&quot;;&quot;$&quot;0"/>
    </dxf>
    <dxf>
      <numFmt numFmtId="165" formatCode="[&gt;=1000000]&quot;$&quot;0.00,,&quot;M&quot;;[&gt;=1000]&quot;$&quot;0.00,&quot;K&quot;;&quot;$&quot;0.00"/>
    </dxf>
    <dxf>
      <numFmt numFmtId="167" formatCode="_(* #,##0_);_(* \(#,##0\);_(* &quot;-&quot;??_);_(@_)"/>
    </dxf>
    <dxf>
      <numFmt numFmtId="34" formatCode="_(&quot;$&quot;* #,##0.00_);_(&quot;$&quot;* \(#,##0.00\);_(&quot;$&quot;* &quot;-&quot;??_);_(@_)"/>
    </dxf>
    <dxf>
      <numFmt numFmtId="164" formatCode="0.0%"/>
    </dxf>
    <dxf>
      <numFmt numFmtId="165" formatCode="[&gt;=1000000]&quot;$&quot;0.00,,&quot;M&quot;;[&gt;=1000]&quot;$&quot;0.00,&quot;K&quot;;&quot;$&quot;0.00"/>
    </dxf>
    <dxf>
      <numFmt numFmtId="167" formatCode="_(* #,##0_);_(* \(#,##0\);_(* &quot;-&quot;??_);_(@_)"/>
    </dxf>
    <dxf>
      <numFmt numFmtId="166" formatCode="[Green]\▲0.0%;[Red]\▼0.0%"/>
    </dxf>
    <dxf>
      <numFmt numFmtId="166" formatCode="[Green]\▲0.0%;[Red]\▼0.0%"/>
    </dxf>
    <dxf>
      <numFmt numFmtId="165" formatCode="[&gt;=1000000]&quot;$&quot;0.00,,&quot;M&quot;;[&gt;=1000]&quot;$&quot;0.00,&quot;K&quot;;&quot;$&quot;0.00"/>
    </dxf>
    <dxf>
      <numFmt numFmtId="34" formatCode="_(&quot;$&quot;* #,##0.00_);_(&quot;$&quot;* \(#,##0.00\);_(&quot;$&quot;* &quot;-&quot;??_);_(@_)"/>
    </dxf>
    <dxf>
      <numFmt numFmtId="165" formatCode="[&gt;=1000000]&quot;$&quot;0.00,,&quot;M&quot;;[&gt;=1000]&quot;$&quot;0.00,&quot;K&quot;;&quot;$&quot;0.00"/>
    </dxf>
    <dxf>
      <numFmt numFmtId="166" formatCode="[Green]\▲0.0%;[Red]\▼0.0%"/>
    </dxf>
    <dxf>
      <numFmt numFmtId="165" formatCode="[&gt;=1000000]&quot;$&quot;0.00,,&quot;M&quot;;[&gt;=1000]&quot;$&quot;0.00,&quot;K&quot;;&quot;$&quot;0.00"/>
    </dxf>
    <dxf>
      <numFmt numFmtId="168" formatCode="[&gt;=1000000]&quot;$&quot;0,,&quot;M&quot;;[&gt;=1000]&quot;$&quot;0,&quot;K&quot;;&quot;$&quot;0"/>
    </dxf>
    <dxf>
      <numFmt numFmtId="0" formatCode="General"/>
    </dxf>
    <dxf>
      <numFmt numFmtId="169" formatCode="[&gt;=1000000]0.0,,&quot;M&quot;;[&gt;=1000]0.0,&quot;K&quot;;0.0"/>
    </dxf>
    <dxf>
      <numFmt numFmtId="34" formatCode="_(&quot;$&quot;* #,##0.00_);_(&quot;$&quot;* \(#,##0.00\);_(&quot;$&quot;* &quot;-&quot;??_);_(@_)"/>
    </dxf>
    <dxf>
      <numFmt numFmtId="165" formatCode="[&gt;=1000000]&quot;$&quot;0.00,,&quot;M&quot;;[&gt;=1000]&quot;$&quot;0.00,&quot;K&quot;;&quot;$&quot;0.00"/>
    </dxf>
    <dxf>
      <numFmt numFmtId="169" formatCode="[&gt;=1000000]0.0,,&quot;M&quot;;[&gt;=1000]0.0,&quot;K&quot;;0.0"/>
    </dxf>
    <dxf>
      <numFmt numFmtId="165" formatCode="[&gt;=1000000]&quot;$&quot;0.00,,&quot;M&quot;;[&gt;=1000]&quot;$&quot;0.00,&quot;K&quot;;&quot;$&quot;0.00"/>
    </dxf>
    <dxf>
      <numFmt numFmtId="168" formatCode="[&gt;=1000000]&quot;$&quot;0,,&quot;M&quot;;[&gt;=1000]&quot;$&quot;0,&quot;K&quot;;&quot;$&quot;0"/>
    </dxf>
    <dxf>
      <numFmt numFmtId="165" formatCode="[&gt;=1000000]&quot;$&quot;0.00,,&quot;M&quot;;[&gt;=1000]&quot;$&quot;0.00,&quot;K&quot;;&quot;$&quot;0.00"/>
    </dxf>
    <dxf>
      <numFmt numFmtId="167" formatCode="_(* #,##0_);_(* \(#,##0\);_(* &quot;-&quot;??_);_(@_)"/>
    </dxf>
    <dxf>
      <numFmt numFmtId="34" formatCode="_(&quot;$&quot;* #,##0.00_);_(&quot;$&quot;* \(#,##0.00\);_(&quot;$&quot;* &quot;-&quot;??_);_(@_)"/>
    </dxf>
    <dxf>
      <numFmt numFmtId="165" formatCode="[&gt;=1000000]&quot;$&quot;0.00,,&quot;M&quot;;[&gt;=1000]&quot;$&quot;0.00,&quot;K&quot;;&quot;$&quot;0.00"/>
    </dxf>
    <dxf>
      <numFmt numFmtId="166" formatCode="[Green]\▲0.0%;[Red]\▼0.0%"/>
    </dxf>
    <dxf>
      <numFmt numFmtId="34" formatCode="_(&quot;$&quot;* #,##0.00_);_(&quot;$&quot;* \(#,##0.00\);_(&quot;$&quot;* &quot;-&quot;??_);_(@_)"/>
    </dxf>
    <dxf>
      <numFmt numFmtId="164" formatCode="0.0%"/>
    </dxf>
    <dxf>
      <numFmt numFmtId="165" formatCode="[&gt;=1000000]&quot;$&quot;0.00,,&quot;M&quot;;[&gt;=1000]&quot;$&quot;0.00,&quot;K&quot;;&quot;$&quot;0.00"/>
    </dxf>
    <dxf>
      <numFmt numFmtId="167" formatCode="_(* #,##0_);_(* \(#,##0\);_(* &quot;-&quot;??_);_(@_)"/>
    </dxf>
    <dxf>
      <numFmt numFmtId="166" formatCode="[Green]\▲0.0%;[Red]\▼0.0%"/>
    </dxf>
    <dxf>
      <numFmt numFmtId="166" formatCode="[Green]\▲0.0%;[Red]\▼0.0%"/>
    </dxf>
    <dxf>
      <numFmt numFmtId="165" formatCode="[&gt;=1000000]&quot;$&quot;0.00,,&quot;M&quot;;[&gt;=1000]&quot;$&quot;0.00,&quot;K&quot;;&quot;$&quot;0.00"/>
    </dxf>
    <dxf>
      <font>
        <sz val="10"/>
        <color theme="0" tint="-0.14996795556505021"/>
      </font>
      <fill>
        <patternFill>
          <bgColor rgb="FF151517"/>
        </patternFill>
      </fill>
      <border diagonalUp="0" diagonalDown="0">
        <left/>
        <right/>
        <top/>
        <bottom/>
        <vertical/>
        <horizontal/>
      </border>
    </dxf>
    <dxf>
      <font>
        <b/>
        <sz val="11"/>
        <color theme="1"/>
      </font>
    </dxf>
    <dxf>
      <font>
        <sz val="10"/>
        <color theme="0" tint="-0.24994659260841701"/>
      </font>
      <fill>
        <patternFill patternType="solid">
          <fgColor theme="0"/>
          <bgColor rgb="FF151517"/>
        </patternFill>
      </fill>
      <border diagonalUp="0" diagonalDown="0">
        <left/>
        <right/>
        <top/>
        <bottom/>
        <vertical/>
        <horizontal/>
      </border>
    </dxf>
    <dxf>
      <numFmt numFmtId="165" formatCode="[&gt;=1000000]&quot;$&quot;0.00,,&quot;M&quot;;[&gt;=1000]&quot;$&quot;0.00,&quot;K&quot;;&quot;$&quot;0.00"/>
    </dxf>
    <dxf>
      <numFmt numFmtId="165" formatCode="[&gt;=1000000]&quot;$&quot;0.00,,&quot;M&quot;;[&gt;=1000]&quot;$&quot;0.00,&quot;K&quot;;&quot;$&quot;0.00"/>
    </dxf>
    <dxf>
      <numFmt numFmtId="34" formatCode="_(&quot;$&quot;* #,##0.00_);_(&quot;$&quot;* \(#,##0.00\);_(&quot;$&quot;* &quot;-&quot;??_);_(@_)"/>
    </dxf>
    <dxf>
      <numFmt numFmtId="167" formatCode="_(* #,##0_);_(* \(#,##0\);_(* &quot;-&quot;??_);_(@_)"/>
    </dxf>
    <dxf>
      <numFmt numFmtId="165" formatCode="[&gt;=1000000]&quot;$&quot;0.00,,&quot;M&quot;;[&gt;=1000]&quot;$&quot;0.00,&quot;K&quot;;&quot;$&quot;0.00"/>
    </dxf>
    <dxf>
      <numFmt numFmtId="166" formatCode="[Green]\▲0.0%;[Red]\▼0.0%"/>
    </dxf>
    <dxf>
      <numFmt numFmtId="166" formatCode="[Green]\▲0.0%;[Red]\▼0.0%"/>
    </dxf>
    <dxf>
      <numFmt numFmtId="167" formatCode="_(* #,##0_);_(* \(#,##0\);_(* &quot;-&quot;??_);_(@_)"/>
    </dxf>
    <dxf>
      <numFmt numFmtId="165" formatCode="[&gt;=1000000]&quot;$&quot;0.00,,&quot;M&quot;;[&gt;=1000]&quot;$&quot;0.00,&quot;K&quot;;&quot;$&quot;0.00"/>
    </dxf>
    <dxf>
      <numFmt numFmtId="164" formatCode="0.0%"/>
    </dxf>
    <dxf>
      <numFmt numFmtId="34" formatCode="_(&quot;$&quot;* #,##0.00_);_(&quot;$&quot;* \(#,##0.00\);_(&quot;$&quot;* &quot;-&quot;??_);_(@_)"/>
    </dxf>
    <dxf>
      <numFmt numFmtId="169" formatCode="[&gt;=1000000]0.0,,&quot;M&quot;;[&gt;=1000]0.0,&quot;K&quot;;0.0"/>
    </dxf>
    <dxf>
      <numFmt numFmtId="166" formatCode="[Green]\▲0.0%;[Red]\▼0.0%"/>
    </dxf>
    <dxf>
      <numFmt numFmtId="165" formatCode="[&gt;=1000000]&quot;$&quot;0.00,,&quot;M&quot;;[&gt;=1000]&quot;$&quot;0.00,&quot;K&quot;;&quot;$&quot;0.00"/>
    </dxf>
    <dxf>
      <numFmt numFmtId="34" formatCode="_(&quot;$&quot;* #,##0.00_);_(&quot;$&quot;* \(#,##0.00\);_(&quot;$&quot;* &quot;-&quot;??_);_(@_)"/>
    </dxf>
    <dxf>
      <numFmt numFmtId="165" formatCode="[&gt;=1000000]&quot;$&quot;0.00,,&quot;M&quot;;[&gt;=1000]&quot;$&quot;0.00,&quot;K&quot;;&quot;$&quot;0.00"/>
    </dxf>
    <dxf>
      <numFmt numFmtId="168" formatCode="[&gt;=1000000]&quot;$&quot;0,,&quot;M&quot;;[&gt;=1000]&quot;$&quot;0,&quot;K&quot;;&quot;$&quot;0"/>
    </dxf>
    <dxf>
      <numFmt numFmtId="168" formatCode="[&gt;=1000000]&quot;$&quot;0,,&quot;M&quot;;[&gt;=1000]&quot;$&quot;0,&quot;K&quot;;&quot;$&quot;0"/>
    </dxf>
    <dxf>
      <numFmt numFmtId="165" formatCode="[&gt;=1000000]&quot;$&quot;0.00,,&quot;M&quot;;[&gt;=1000]&quot;$&quot;0.00,&quot;K&quot;;&quot;$&quot;0.00"/>
    </dxf>
    <dxf>
      <numFmt numFmtId="169" formatCode="[&gt;=1000000]0.0,,&quot;M&quot;;[&gt;=1000]0.0,&quot;K&quot;;0.0"/>
    </dxf>
    <dxf>
      <numFmt numFmtId="0" formatCode="General"/>
    </dxf>
  </dxfs>
  <tableStyles count="2" defaultTableStyle="TableStyleMedium2" defaultPivotStyle="PivotStyleLight16">
    <tableStyle name="Slicer Style 1" pivot="0" table="0" count="2" xr9:uid="{0239D051-AFA6-4EFE-B1C2-61251F39E607}">
      <tableStyleElement type="wholeTable" dxfId="105"/>
    </tableStyle>
    <tableStyle name="Timeline Style 1" pivot="0" table="0" count="8" xr9:uid="{53A0FF07-F819-4A96-A5C8-A9371942A5B7}">
      <tableStyleElement type="wholeTable" dxfId="107"/>
      <tableStyleElement type="headerRow" dxfId="106"/>
    </tableStyle>
  </tableStyles>
  <colors>
    <mruColors>
      <color rgb="FF464648"/>
      <color rgb="FF151517"/>
      <color rgb="FF99999B"/>
      <color rgb="FF3C3C3E"/>
      <color rgb="FF7C8BDA"/>
      <color rgb="FF222126"/>
    </mruColors>
  </colors>
  <extLst>
    <ext xmlns:x14="http://schemas.microsoft.com/office/spreadsheetml/2009/9/main" uri="{46F421CA-312F-682f-3DD2-61675219B42D}">
      <x14:dxfs count="1">
        <dxf>
          <font>
            <sz val="10"/>
            <color theme="0" tint="-0.14996795556505021"/>
          </font>
          <fill>
            <patternFill>
              <bgColor rgb="FF46464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99999B"/>
            </patternFill>
          </fill>
        </dxf>
        <dxf>
          <fill>
            <patternFill patternType="solid">
              <fgColor theme="0"/>
              <bgColor rgb="FF3C3C3E"/>
            </patternFill>
          </fill>
          <border diagonalUp="0" diagonalDown="0">
            <left/>
            <right/>
            <top/>
            <bottom/>
            <vertical/>
            <horizontal/>
          </border>
        </dxf>
        <dxf>
          <font>
            <sz val="9"/>
            <color theme="1" tint="0.499984740745262"/>
          </font>
        </dxf>
        <dxf>
          <font>
            <sz val="9"/>
            <color theme="1" tint="0.499984740745262"/>
          </font>
        </dxf>
        <dxf>
          <font>
            <sz val="9"/>
            <color theme="0" tint="-0.14996795556505021"/>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8B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Analysis!$F$11</c:f>
              <c:strCache>
                <c:ptCount val="1"/>
                <c:pt idx="0">
                  <c:v>Total</c:v>
                </c:pt>
              </c:strCache>
            </c:strRef>
          </c:tx>
          <c:spPr>
            <a:solidFill>
              <a:srgbClr val="7C8B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Analysis!$E$12:$E$16</c:f>
              <c:strCache>
                <c:ptCount val="4"/>
                <c:pt idx="0">
                  <c:v>Home Goods</c:v>
                </c:pt>
                <c:pt idx="1">
                  <c:v>Clothing</c:v>
                </c:pt>
                <c:pt idx="2">
                  <c:v>Electronics</c:v>
                </c:pt>
                <c:pt idx="3">
                  <c:v>Books</c:v>
                </c:pt>
              </c:strCache>
            </c:strRef>
          </c:cat>
          <c:val>
            <c:numRef>
              <c:f>Analysis!$F$12:$F$16</c:f>
              <c:numCache>
                <c:formatCode>[&gt;=1000000]"$"0,,"M";[&gt;=1000]"$"0,"K";"$"0</c:formatCode>
                <c:ptCount val="4"/>
                <c:pt idx="0">
                  <c:v>347493.8270875024</c:v>
                </c:pt>
                <c:pt idx="1">
                  <c:v>350981.82277266087</c:v>
                </c:pt>
                <c:pt idx="2">
                  <c:v>364090.40628827905</c:v>
                </c:pt>
                <c:pt idx="3">
                  <c:v>370971.87255793798</c:v>
                </c:pt>
              </c:numCache>
            </c:numRef>
          </c:val>
          <c:extLst>
            <c:ext xmlns:c16="http://schemas.microsoft.com/office/drawing/2014/chart" uri="{C3380CC4-5D6E-409C-BE32-E72D297353CC}">
              <c16:uniqueId val="{00000000-0D3A-4E68-81C6-E2F66F51C1DA}"/>
            </c:ext>
          </c:extLst>
        </c:ser>
        <c:dLbls>
          <c:showLegendKey val="0"/>
          <c:showVal val="0"/>
          <c:showCatName val="0"/>
          <c:showSerName val="0"/>
          <c:showPercent val="0"/>
          <c:showBubbleSize val="0"/>
        </c:dLbls>
        <c:gapWidth val="182"/>
        <c:axId val="495883440"/>
        <c:axId val="495883920"/>
      </c:barChart>
      <c:catAx>
        <c:axId val="4958834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95883920"/>
        <c:crosses val="autoZero"/>
        <c:auto val="1"/>
        <c:lblAlgn val="ctr"/>
        <c:lblOffset val="100"/>
        <c:noMultiLvlLbl val="0"/>
      </c:catAx>
      <c:valAx>
        <c:axId val="495883920"/>
        <c:scaling>
          <c:orientation val="minMax"/>
        </c:scaling>
        <c:delete val="1"/>
        <c:axPos val="b"/>
        <c:numFmt formatCode="[&gt;=1000000]&quot;$&quot;0,,&quot;M&quot;;[&gt;=1000]&quot;$&quot;0,&quot;K&quot;;&quot;$&quot;0" sourceLinked="1"/>
        <c:majorTickMark val="none"/>
        <c:minorTickMark val="none"/>
        <c:tickLblPos val="nextTo"/>
        <c:crossAx val="49588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8B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Analysis!$I$21</c:f>
              <c:strCache>
                <c:ptCount val="1"/>
                <c:pt idx="0">
                  <c:v>Total</c:v>
                </c:pt>
              </c:strCache>
            </c:strRef>
          </c:tx>
          <c:spPr>
            <a:solidFill>
              <a:srgbClr val="7C8B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Analysis!$H$22:$H$26</c:f>
              <c:strCache>
                <c:ptCount val="4"/>
                <c:pt idx="0">
                  <c:v>Electronics</c:v>
                </c:pt>
                <c:pt idx="1">
                  <c:v>Clothing</c:v>
                </c:pt>
                <c:pt idx="2">
                  <c:v>Books</c:v>
                </c:pt>
                <c:pt idx="3">
                  <c:v>Home Goods</c:v>
                </c:pt>
              </c:strCache>
            </c:strRef>
          </c:cat>
          <c:val>
            <c:numRef>
              <c:f>Analysis!$I$22:$I$26</c:f>
              <c:numCache>
                <c:formatCode>[&gt;=1000000]0.0,,"M";[&gt;=1000]0.0,"K";0.0</c:formatCode>
                <c:ptCount val="4"/>
                <c:pt idx="0">
                  <c:v>3595</c:v>
                </c:pt>
                <c:pt idx="1">
                  <c:v>3641</c:v>
                </c:pt>
                <c:pt idx="2">
                  <c:v>3737</c:v>
                </c:pt>
                <c:pt idx="3">
                  <c:v>3777</c:v>
                </c:pt>
              </c:numCache>
            </c:numRef>
          </c:val>
          <c:extLst>
            <c:ext xmlns:c16="http://schemas.microsoft.com/office/drawing/2014/chart" uri="{C3380CC4-5D6E-409C-BE32-E72D297353CC}">
              <c16:uniqueId val="{00000000-02CC-4A89-8A48-42438E7EBF10}"/>
            </c:ext>
          </c:extLst>
        </c:ser>
        <c:dLbls>
          <c:dLblPos val="outEnd"/>
          <c:showLegendKey val="0"/>
          <c:showVal val="1"/>
          <c:showCatName val="0"/>
          <c:showSerName val="0"/>
          <c:showPercent val="0"/>
          <c:showBubbleSize val="0"/>
        </c:dLbls>
        <c:gapWidth val="182"/>
        <c:axId val="1066306240"/>
        <c:axId val="1066306720"/>
      </c:barChart>
      <c:catAx>
        <c:axId val="10663062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306720"/>
        <c:crosses val="autoZero"/>
        <c:auto val="1"/>
        <c:lblAlgn val="ctr"/>
        <c:lblOffset val="100"/>
        <c:noMultiLvlLbl val="0"/>
      </c:catAx>
      <c:valAx>
        <c:axId val="1066306720"/>
        <c:scaling>
          <c:orientation val="minMax"/>
        </c:scaling>
        <c:delete val="1"/>
        <c:axPos val="b"/>
        <c:numFmt formatCode="[&gt;=1000000]0.0,,&quot;M&quot;;[&gt;=1000]0.0,&quot;K&quot;;0.0" sourceLinked="1"/>
        <c:majorTickMark val="none"/>
        <c:minorTickMark val="none"/>
        <c:tickLblPos val="nextTo"/>
        <c:crossAx val="10663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8B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Analysis!$L$21</c:f>
              <c:strCache>
                <c:ptCount val="1"/>
                <c:pt idx="0">
                  <c:v>Total</c:v>
                </c:pt>
              </c:strCache>
            </c:strRef>
          </c:tx>
          <c:spPr>
            <a:solidFill>
              <a:srgbClr val="7C8B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Analysis!$K$22:$K$26</c:f>
              <c:strCache>
                <c:ptCount val="4"/>
                <c:pt idx="0">
                  <c:v>Clothing</c:v>
                </c:pt>
                <c:pt idx="1">
                  <c:v>Electronics</c:v>
                </c:pt>
                <c:pt idx="2">
                  <c:v>Sports</c:v>
                </c:pt>
                <c:pt idx="3">
                  <c:v>Books</c:v>
                </c:pt>
              </c:strCache>
            </c:strRef>
          </c:cat>
          <c:val>
            <c:numRef>
              <c:f>Analysis!$L$22:$L$26</c:f>
              <c:numCache>
                <c:formatCode>[&gt;=1000000]"$"0,,"M";[&gt;=1000]"$"0,"K";"$"0</c:formatCode>
                <c:ptCount val="4"/>
                <c:pt idx="0">
                  <c:v>90082.119919967081</c:v>
                </c:pt>
                <c:pt idx="1">
                  <c:v>90439.69779542886</c:v>
                </c:pt>
                <c:pt idx="2">
                  <c:v>92065.220851218197</c:v>
                </c:pt>
                <c:pt idx="3">
                  <c:v>92304.452141022572</c:v>
                </c:pt>
              </c:numCache>
            </c:numRef>
          </c:val>
          <c:extLst>
            <c:ext xmlns:c16="http://schemas.microsoft.com/office/drawing/2014/chart" uri="{C3380CC4-5D6E-409C-BE32-E72D297353CC}">
              <c16:uniqueId val="{00000000-58EE-4824-A624-56330BBD59C8}"/>
            </c:ext>
          </c:extLst>
        </c:ser>
        <c:dLbls>
          <c:dLblPos val="outEnd"/>
          <c:showLegendKey val="0"/>
          <c:showVal val="1"/>
          <c:showCatName val="0"/>
          <c:showSerName val="0"/>
          <c:showPercent val="0"/>
          <c:showBubbleSize val="0"/>
        </c:dLbls>
        <c:gapWidth val="182"/>
        <c:axId val="701978848"/>
        <c:axId val="701975488"/>
      </c:barChart>
      <c:catAx>
        <c:axId val="7019788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1975488"/>
        <c:crosses val="autoZero"/>
        <c:auto val="1"/>
        <c:lblAlgn val="ctr"/>
        <c:lblOffset val="100"/>
        <c:noMultiLvlLbl val="0"/>
      </c:catAx>
      <c:valAx>
        <c:axId val="701975488"/>
        <c:scaling>
          <c:orientation val="minMax"/>
        </c:scaling>
        <c:delete val="1"/>
        <c:axPos val="b"/>
        <c:numFmt formatCode="[&gt;=1000000]&quot;$&quot;0,,&quot;M&quot;;[&gt;=1000]&quot;$&quot;0,&quot;K&quot;;&quot;$&quot;0" sourceLinked="1"/>
        <c:majorTickMark val="none"/>
        <c:minorTickMark val="none"/>
        <c:tickLblPos val="nextTo"/>
        <c:crossAx val="70197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[Book1.xlsx]Analysis!PivotTable4</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C8BDA"/>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Analysis!$C$11</c:f>
              <c:strCache>
                <c:ptCount val="1"/>
                <c:pt idx="0">
                  <c:v>Total</c:v>
                </c:pt>
              </c:strCache>
            </c:strRef>
          </c:tx>
          <c:spPr>
            <a:ln w="28575" cap="rnd">
              <a:solidFill>
                <a:srgbClr val="7C8BDA"/>
              </a:solidFill>
              <a:round/>
            </a:ln>
            <a:effectLst/>
          </c:spPr>
          <c:marker>
            <c:symbol val="circle"/>
            <c:size val="7"/>
            <c:spPr>
              <a:solidFill>
                <a:schemeClr val="accent1"/>
              </a:solidFill>
              <a:ln w="9525">
                <a:solidFill>
                  <a:schemeClr val="accent1"/>
                </a:solidFill>
              </a:ln>
              <a:effectLst/>
            </c:spPr>
          </c:marker>
          <c:cat>
            <c:strRef>
              <c:f>Analysis!$B$12:$B$18</c:f>
              <c:strCache>
                <c:ptCount val="6"/>
                <c:pt idx="0">
                  <c:v>Wk1</c:v>
                </c:pt>
                <c:pt idx="1">
                  <c:v>Wk2</c:v>
                </c:pt>
                <c:pt idx="2">
                  <c:v>Wk3</c:v>
                </c:pt>
                <c:pt idx="3">
                  <c:v>Wk4</c:v>
                </c:pt>
                <c:pt idx="4">
                  <c:v>Wk5</c:v>
                </c:pt>
                <c:pt idx="5">
                  <c:v>Wk6</c:v>
                </c:pt>
              </c:strCache>
            </c:strRef>
          </c:cat>
          <c:val>
            <c:numRef>
              <c:f>Analysis!$C$12:$C$18</c:f>
              <c:numCache>
                <c:formatCode>[&gt;=1000000]"$"0.00,,"M";[&gt;=1000]"$"0.00,"K";"$"0.00</c:formatCode>
                <c:ptCount val="6"/>
                <c:pt idx="0">
                  <c:v>224367.73170091602</c:v>
                </c:pt>
                <c:pt idx="1">
                  <c:v>411929.29351139866</c:v>
                </c:pt>
                <c:pt idx="2">
                  <c:v>416707.72742413759</c:v>
                </c:pt>
                <c:pt idx="3">
                  <c:v>412202.10591090115</c:v>
                </c:pt>
                <c:pt idx="4">
                  <c:v>302231.47480687493</c:v>
                </c:pt>
                <c:pt idx="5">
                  <c:v>19981.587086744679</c:v>
                </c:pt>
              </c:numCache>
            </c:numRef>
          </c:val>
          <c:smooth val="1"/>
          <c:extLst>
            <c:ext xmlns:c16="http://schemas.microsoft.com/office/drawing/2014/chart" uri="{C3380CC4-5D6E-409C-BE32-E72D297353CC}">
              <c16:uniqueId val="{00000000-8ECA-4BFE-804F-DA24BC041C91}"/>
            </c:ext>
          </c:extLst>
        </c:ser>
        <c:dLbls>
          <c:showLegendKey val="0"/>
          <c:showVal val="0"/>
          <c:showCatName val="0"/>
          <c:showSerName val="0"/>
          <c:showPercent val="0"/>
          <c:showBubbleSize val="0"/>
        </c:dLbls>
        <c:marker val="1"/>
        <c:smooth val="0"/>
        <c:axId val="1227739872"/>
        <c:axId val="1227741792"/>
      </c:lineChart>
      <c:catAx>
        <c:axId val="1227739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7741792"/>
        <c:crosses val="autoZero"/>
        <c:auto val="1"/>
        <c:lblAlgn val="ctr"/>
        <c:lblOffset val="100"/>
        <c:noMultiLvlLbl val="0"/>
      </c:catAx>
      <c:valAx>
        <c:axId val="1227741792"/>
        <c:scaling>
          <c:orientation val="minMax"/>
        </c:scaling>
        <c:delete val="1"/>
        <c:axPos val="l"/>
        <c:numFmt formatCode="[&gt;=1000000]&quot;$&quot;0.00,,&quot;M&quot;;[&gt;=1000]&quot;$&quot;0.00,&quot;K&quot;;&quot;$&quot;0.00" sourceLinked="1"/>
        <c:majorTickMark val="none"/>
        <c:minorTickMark val="none"/>
        <c:tickLblPos val="nextTo"/>
        <c:crossAx val="122773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C8BDA"/>
            </a:solidFill>
            <a:round/>
          </a:ln>
          <a:effectLst/>
        </c:spPr>
        <c:marker>
          <c:symbol val="circle"/>
          <c:size val="7"/>
          <c:spPr>
            <a:solidFill>
              <a:schemeClr val="accent1"/>
            </a:solidFill>
            <a:ln w="9525">
              <a:solidFill>
                <a:srgbClr val="7C8BD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94837261503929E-2"/>
          <c:y val="6.8204365079365073E-2"/>
          <c:w val="0.9228395061728395"/>
          <c:h val="0.78795716941632299"/>
        </c:manualLayout>
      </c:layout>
      <c:lineChart>
        <c:grouping val="standard"/>
        <c:varyColors val="0"/>
        <c:ser>
          <c:idx val="0"/>
          <c:order val="0"/>
          <c:tx>
            <c:strRef>
              <c:f>Analysis!$C$21</c:f>
              <c:strCache>
                <c:ptCount val="1"/>
                <c:pt idx="0">
                  <c:v>Total</c:v>
                </c:pt>
              </c:strCache>
            </c:strRef>
          </c:tx>
          <c:spPr>
            <a:ln w="28575" cap="rnd">
              <a:solidFill>
                <a:srgbClr val="7C8BDA"/>
              </a:solidFill>
              <a:round/>
            </a:ln>
            <a:effectLst/>
          </c:spPr>
          <c:marker>
            <c:symbol val="circle"/>
            <c:size val="7"/>
            <c:spPr>
              <a:solidFill>
                <a:schemeClr val="accent1"/>
              </a:solidFill>
              <a:ln w="9525">
                <a:solidFill>
                  <a:srgbClr val="7C8BDA"/>
                </a:solidFill>
              </a:ln>
              <a:effectLst/>
            </c:spPr>
          </c:marker>
          <c:cat>
            <c:strRef>
              <c:f>Analysis!$B$22:$B$28</c:f>
              <c:strCache>
                <c:ptCount val="6"/>
                <c:pt idx="0">
                  <c:v>Wk1</c:v>
                </c:pt>
                <c:pt idx="1">
                  <c:v>Wk2</c:v>
                </c:pt>
                <c:pt idx="2">
                  <c:v>Wk3</c:v>
                </c:pt>
                <c:pt idx="3">
                  <c:v>Wk4</c:v>
                </c:pt>
                <c:pt idx="4">
                  <c:v>Wk5</c:v>
                </c:pt>
                <c:pt idx="5">
                  <c:v>Wk6</c:v>
                </c:pt>
              </c:strCache>
            </c:strRef>
          </c:cat>
          <c:val>
            <c:numRef>
              <c:f>Analysis!$C$22:$C$28</c:f>
              <c:numCache>
                <c:formatCode>[&gt;=1000000]0.0,,"M";[&gt;=1000]0.0,"K";0.0</c:formatCode>
                <c:ptCount val="6"/>
                <c:pt idx="0">
                  <c:v>2391</c:v>
                </c:pt>
                <c:pt idx="1">
                  <c:v>4179</c:v>
                </c:pt>
                <c:pt idx="2">
                  <c:v>4242</c:v>
                </c:pt>
                <c:pt idx="3">
                  <c:v>4196</c:v>
                </c:pt>
                <c:pt idx="4">
                  <c:v>3070</c:v>
                </c:pt>
                <c:pt idx="5">
                  <c:v>220</c:v>
                </c:pt>
              </c:numCache>
            </c:numRef>
          </c:val>
          <c:smooth val="1"/>
          <c:extLst>
            <c:ext xmlns:c16="http://schemas.microsoft.com/office/drawing/2014/chart" uri="{C3380CC4-5D6E-409C-BE32-E72D297353CC}">
              <c16:uniqueId val="{00000000-12CE-4176-AC43-9E30A8071795}"/>
            </c:ext>
          </c:extLst>
        </c:ser>
        <c:dLbls>
          <c:showLegendKey val="0"/>
          <c:showVal val="0"/>
          <c:showCatName val="0"/>
          <c:showSerName val="0"/>
          <c:showPercent val="0"/>
          <c:showBubbleSize val="0"/>
        </c:dLbls>
        <c:marker val="1"/>
        <c:smooth val="0"/>
        <c:axId val="1227740832"/>
        <c:axId val="1227742752"/>
      </c:lineChart>
      <c:catAx>
        <c:axId val="12277408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7742752"/>
        <c:crosses val="autoZero"/>
        <c:auto val="1"/>
        <c:lblAlgn val="ctr"/>
        <c:lblOffset val="100"/>
        <c:noMultiLvlLbl val="0"/>
      </c:catAx>
      <c:valAx>
        <c:axId val="1227742752"/>
        <c:scaling>
          <c:orientation val="minMax"/>
        </c:scaling>
        <c:delete val="1"/>
        <c:axPos val="l"/>
        <c:numFmt formatCode="[&gt;=1000000]0.0,,&quot;M&quot;;[&gt;=1000]0.0,&quot;K&quot;;0.0" sourceLinked="1"/>
        <c:majorTickMark val="none"/>
        <c:minorTickMark val="none"/>
        <c:tickLblPos val="nextTo"/>
        <c:crossAx val="122774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7"/>
          <c:spPr>
            <a:solidFill>
              <a:srgbClr val="7C8BD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7"/>
          <c:spPr>
            <a:solidFill>
              <a:srgbClr val="7C8BD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C8BDA"/>
            </a:solidFill>
            <a:round/>
          </a:ln>
          <a:effectLst/>
        </c:spPr>
        <c:marker>
          <c:symbol val="circle"/>
          <c:size val="7"/>
          <c:spPr>
            <a:solidFill>
              <a:srgbClr val="7C8BD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61542364282086E-2"/>
          <c:y val="0.10787480788781445"/>
          <c:w val="0.93023845763571789"/>
          <c:h val="0.76942927749891832"/>
        </c:manualLayout>
      </c:layout>
      <c:lineChart>
        <c:grouping val="standard"/>
        <c:varyColors val="0"/>
        <c:ser>
          <c:idx val="0"/>
          <c:order val="0"/>
          <c:tx>
            <c:strRef>
              <c:f>Analysis!$F$21</c:f>
              <c:strCache>
                <c:ptCount val="1"/>
                <c:pt idx="0">
                  <c:v>Total</c:v>
                </c:pt>
              </c:strCache>
            </c:strRef>
          </c:tx>
          <c:spPr>
            <a:ln w="28575" cap="rnd">
              <a:solidFill>
                <a:srgbClr val="7C8BDA"/>
              </a:solidFill>
              <a:round/>
            </a:ln>
            <a:effectLst/>
          </c:spPr>
          <c:marker>
            <c:symbol val="circle"/>
            <c:size val="7"/>
            <c:spPr>
              <a:solidFill>
                <a:srgbClr val="7C8BDA"/>
              </a:solidFill>
              <a:ln w="9525">
                <a:solidFill>
                  <a:schemeClr val="accent1"/>
                </a:solidFill>
              </a:ln>
              <a:effectLst/>
            </c:spPr>
          </c:marker>
          <c:cat>
            <c:strRef>
              <c:f>Analysis!$E$22:$E$28</c:f>
              <c:strCache>
                <c:ptCount val="6"/>
                <c:pt idx="0">
                  <c:v>Wk1</c:v>
                </c:pt>
                <c:pt idx="1">
                  <c:v>Wk2</c:v>
                </c:pt>
                <c:pt idx="2">
                  <c:v>Wk3</c:v>
                </c:pt>
                <c:pt idx="3">
                  <c:v>Wk4</c:v>
                </c:pt>
                <c:pt idx="4">
                  <c:v>Wk5</c:v>
                </c:pt>
                <c:pt idx="5">
                  <c:v>Wk6</c:v>
                </c:pt>
              </c:strCache>
            </c:strRef>
          </c:cat>
          <c:val>
            <c:numRef>
              <c:f>Analysis!$F$22:$F$28</c:f>
              <c:numCache>
                <c:formatCode>General</c:formatCode>
                <c:ptCount val="6"/>
                <c:pt idx="0">
                  <c:v>59214.386209834942</c:v>
                </c:pt>
                <c:pt idx="1">
                  <c:v>100575.78914084924</c:v>
                </c:pt>
                <c:pt idx="2">
                  <c:v>106272.1753577627</c:v>
                </c:pt>
                <c:pt idx="3">
                  <c:v>106976.43596976282</c:v>
                </c:pt>
                <c:pt idx="4">
                  <c:v>75703.938014755637</c:v>
                </c:pt>
                <c:pt idx="5">
                  <c:v>5127.7124919612706</c:v>
                </c:pt>
              </c:numCache>
            </c:numRef>
          </c:val>
          <c:smooth val="1"/>
          <c:extLst>
            <c:ext xmlns:c16="http://schemas.microsoft.com/office/drawing/2014/chart" uri="{C3380CC4-5D6E-409C-BE32-E72D297353CC}">
              <c16:uniqueId val="{00000000-0951-4500-BD9B-4F7E25FDB193}"/>
            </c:ext>
          </c:extLst>
        </c:ser>
        <c:dLbls>
          <c:showLegendKey val="0"/>
          <c:showVal val="0"/>
          <c:showCatName val="0"/>
          <c:showSerName val="0"/>
          <c:showPercent val="0"/>
          <c:showBubbleSize val="0"/>
        </c:dLbls>
        <c:marker val="1"/>
        <c:smooth val="0"/>
        <c:axId val="1232461040"/>
        <c:axId val="1232476400"/>
      </c:lineChart>
      <c:catAx>
        <c:axId val="1232461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2476400"/>
        <c:crosses val="autoZero"/>
        <c:auto val="1"/>
        <c:lblAlgn val="ctr"/>
        <c:lblOffset val="100"/>
        <c:noMultiLvlLbl val="0"/>
      </c:catAx>
      <c:valAx>
        <c:axId val="1232476400"/>
        <c:scaling>
          <c:orientation val="minMax"/>
        </c:scaling>
        <c:delete val="1"/>
        <c:axPos val="l"/>
        <c:numFmt formatCode="General" sourceLinked="1"/>
        <c:majorTickMark val="none"/>
        <c:minorTickMark val="none"/>
        <c:tickLblPos val="nextTo"/>
        <c:crossAx val="123246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Sheet5!A1"/><Relationship Id="rId13"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hyperlink" Target="mailto:luuckyyyy@gmail.com" TargetMode="External"/><Relationship Id="rId4" Type="http://schemas.openxmlformats.org/officeDocument/2006/relationships/image" Target="../media/image4.png"/><Relationship Id="rId9" Type="http://schemas.openxmlformats.org/officeDocument/2006/relationships/hyperlink" Target="#Analysis!A1"/><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118872</xdr:colOff>
      <xdr:row>0</xdr:row>
      <xdr:rowOff>100584</xdr:rowOff>
    </xdr:from>
    <xdr:to>
      <xdr:col>25</xdr:col>
      <xdr:colOff>100584</xdr:colOff>
      <xdr:row>29</xdr:row>
      <xdr:rowOff>164592</xdr:rowOff>
    </xdr:to>
    <xdr:grpSp>
      <xdr:nvGrpSpPr>
        <xdr:cNvPr id="2" name="Group 1">
          <a:extLst>
            <a:ext uri="{FF2B5EF4-FFF2-40B4-BE49-F238E27FC236}">
              <a16:creationId xmlns:a16="http://schemas.microsoft.com/office/drawing/2014/main" id="{E704CBCE-5123-64C8-ACA6-C55138BC6438}"/>
            </a:ext>
          </a:extLst>
        </xdr:cNvPr>
        <xdr:cNvGrpSpPr/>
      </xdr:nvGrpSpPr>
      <xdr:grpSpPr>
        <a:xfrm>
          <a:off x="3959352" y="100584"/>
          <a:ext cx="12143232" cy="5367528"/>
          <a:chOff x="-804672" y="640080"/>
          <a:chExt cx="12923520" cy="6199632"/>
        </a:xfrm>
      </xdr:grpSpPr>
      <xdr:sp macro="" textlink="">
        <xdr:nvSpPr>
          <xdr:cNvPr id="3" name="Rectangle: Rounded Corners 2">
            <a:extLst>
              <a:ext uri="{FF2B5EF4-FFF2-40B4-BE49-F238E27FC236}">
                <a16:creationId xmlns:a16="http://schemas.microsoft.com/office/drawing/2014/main" id="{314004C6-17A0-1BA6-53DC-A9941A1CA48A}"/>
              </a:ext>
            </a:extLst>
          </xdr:cNvPr>
          <xdr:cNvSpPr/>
        </xdr:nvSpPr>
        <xdr:spPr>
          <a:xfrm>
            <a:off x="-804672" y="640080"/>
            <a:ext cx="12923520" cy="6199632"/>
          </a:xfrm>
          <a:prstGeom prst="roundRect">
            <a:avLst>
              <a:gd name="adj" fmla="val 2922"/>
            </a:avLst>
          </a:prstGeom>
          <a:solidFill>
            <a:srgbClr val="151517"/>
          </a:solidFill>
          <a:ln>
            <a:solidFill>
              <a:schemeClr val="bg1">
                <a:lumMod val="65000"/>
                <a:alpha val="1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Rounded Corners 3">
            <a:extLst>
              <a:ext uri="{FF2B5EF4-FFF2-40B4-BE49-F238E27FC236}">
                <a16:creationId xmlns:a16="http://schemas.microsoft.com/office/drawing/2014/main" id="{B243691B-82FD-3BCE-1D64-C71DAA649BEC}"/>
              </a:ext>
            </a:extLst>
          </xdr:cNvPr>
          <xdr:cNvSpPr/>
        </xdr:nvSpPr>
        <xdr:spPr>
          <a:xfrm>
            <a:off x="1026339" y="640080"/>
            <a:ext cx="11092509" cy="6199632"/>
          </a:xfrm>
          <a:prstGeom prst="roundRect">
            <a:avLst>
              <a:gd name="adj" fmla="val 0"/>
            </a:avLst>
          </a:prstGeom>
          <a:solidFill>
            <a:srgbClr val="1B1B1D"/>
          </a:solidFill>
          <a:ln>
            <a:solidFill>
              <a:schemeClr val="bg1">
                <a:lumMod val="65000"/>
                <a:alpha val="1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B9E5D37D-980C-6AB0-FE3F-92313E145B4B}"/>
              </a:ext>
            </a:extLst>
          </xdr:cNvPr>
          <xdr:cNvSpPr/>
        </xdr:nvSpPr>
        <xdr:spPr>
          <a:xfrm>
            <a:off x="1209219" y="1033272"/>
            <a:ext cx="3468503" cy="5674648"/>
          </a:xfrm>
          <a:prstGeom prst="roundRect">
            <a:avLst>
              <a:gd name="adj" fmla="val 6760"/>
            </a:avLst>
          </a:prstGeom>
          <a:solidFill>
            <a:srgbClr val="26262B"/>
          </a:solidFill>
          <a:ln w="19050">
            <a:solidFill>
              <a:schemeClr val="bg1">
                <a:lumMod val="65000"/>
                <a:alpha val="2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E3BDFD8D-6BCF-49BC-C7A9-64F75B4913A1}"/>
              </a:ext>
            </a:extLst>
          </xdr:cNvPr>
          <xdr:cNvSpPr/>
        </xdr:nvSpPr>
        <xdr:spPr>
          <a:xfrm>
            <a:off x="4833309" y="1033272"/>
            <a:ext cx="3468502" cy="5674648"/>
          </a:xfrm>
          <a:prstGeom prst="roundRect">
            <a:avLst>
              <a:gd name="adj" fmla="val 6760"/>
            </a:avLst>
          </a:prstGeom>
          <a:solidFill>
            <a:srgbClr val="26262B"/>
          </a:solidFill>
          <a:ln w="19050">
            <a:solidFill>
              <a:schemeClr val="bg1">
                <a:lumMod val="65000"/>
                <a:alpha val="2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6F126606-54F6-4F4F-04A0-763923D24E90}"/>
              </a:ext>
            </a:extLst>
          </xdr:cNvPr>
          <xdr:cNvSpPr/>
        </xdr:nvSpPr>
        <xdr:spPr>
          <a:xfrm>
            <a:off x="8415827" y="1033272"/>
            <a:ext cx="3517093" cy="5674648"/>
          </a:xfrm>
          <a:prstGeom prst="roundRect">
            <a:avLst>
              <a:gd name="adj" fmla="val 6760"/>
            </a:avLst>
          </a:prstGeom>
          <a:solidFill>
            <a:srgbClr val="26262B"/>
          </a:solidFill>
          <a:ln w="19050">
            <a:solidFill>
              <a:schemeClr val="bg1">
                <a:lumMod val="65000"/>
                <a:alpha val="2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FFA9F41A-2EE2-2CCC-73F5-5F3AB857D67C}"/>
              </a:ext>
            </a:extLst>
          </xdr:cNvPr>
          <xdr:cNvSpPr/>
        </xdr:nvSpPr>
        <xdr:spPr>
          <a:xfrm>
            <a:off x="1276017" y="1078992"/>
            <a:ext cx="3401705" cy="1426464"/>
          </a:xfrm>
          <a:prstGeom prst="roundRect">
            <a:avLst>
              <a:gd name="adj" fmla="val 11539"/>
            </a:avLst>
          </a:prstGeom>
          <a:solidFill>
            <a:srgbClr val="3C3C3E"/>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607260A7-01CC-1646-1E85-24788A2A3AC8}"/>
              </a:ext>
            </a:extLst>
          </xdr:cNvPr>
          <xdr:cNvSpPr/>
        </xdr:nvSpPr>
        <xdr:spPr>
          <a:xfrm>
            <a:off x="4860602" y="1097280"/>
            <a:ext cx="3391191" cy="1417320"/>
          </a:xfrm>
          <a:prstGeom prst="roundRect">
            <a:avLst>
              <a:gd name="adj" fmla="val 5699"/>
            </a:avLst>
          </a:prstGeom>
          <a:solidFill>
            <a:srgbClr val="3C3C3E"/>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57EAF35E-8A3F-9858-2C5C-6C903E8C9C3E}"/>
              </a:ext>
            </a:extLst>
          </xdr:cNvPr>
          <xdr:cNvSpPr/>
        </xdr:nvSpPr>
        <xdr:spPr>
          <a:xfrm>
            <a:off x="8465845" y="1078992"/>
            <a:ext cx="3357347" cy="1463040"/>
          </a:xfrm>
          <a:prstGeom prst="roundRect">
            <a:avLst>
              <a:gd name="adj" fmla="val 9616"/>
            </a:avLst>
          </a:prstGeom>
          <a:solidFill>
            <a:srgbClr val="3C3C3E"/>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11" name="Picture 10">
            <a:extLst>
              <a:ext uri="{FF2B5EF4-FFF2-40B4-BE49-F238E27FC236}">
                <a16:creationId xmlns:a16="http://schemas.microsoft.com/office/drawing/2014/main" id="{EB7CCFCA-D1B8-24E9-C45A-CC8498E6B2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9863" y="1066756"/>
            <a:ext cx="182880" cy="182880"/>
          </a:xfrm>
          <a:prstGeom prst="rect">
            <a:avLst/>
          </a:prstGeom>
        </xdr:spPr>
      </xdr:pic>
      <xdr:pic>
        <xdr:nvPicPr>
          <xdr:cNvPr id="12" name="Picture 11">
            <a:extLst>
              <a:ext uri="{FF2B5EF4-FFF2-40B4-BE49-F238E27FC236}">
                <a16:creationId xmlns:a16="http://schemas.microsoft.com/office/drawing/2014/main" id="{E90FB550-3EFE-D36F-C6A2-22AE7639FE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2982" y="2684560"/>
            <a:ext cx="182880" cy="182880"/>
          </a:xfrm>
          <a:prstGeom prst="rect">
            <a:avLst/>
          </a:prstGeom>
        </xdr:spPr>
      </xdr:pic>
      <xdr:pic>
        <xdr:nvPicPr>
          <xdr:cNvPr id="13" name="Picture 12">
            <a:extLst>
              <a:ext uri="{FF2B5EF4-FFF2-40B4-BE49-F238E27FC236}">
                <a16:creationId xmlns:a16="http://schemas.microsoft.com/office/drawing/2014/main" id="{7584A126-C995-A746-CDC7-61A299C698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5928" y="788272"/>
            <a:ext cx="549440" cy="549440"/>
          </a:xfrm>
          <a:prstGeom prst="rect">
            <a:avLst/>
          </a:prstGeom>
        </xdr:spPr>
      </xdr:pic>
      <xdr:pic>
        <xdr:nvPicPr>
          <xdr:cNvPr id="14" name="Picture 13">
            <a:extLst>
              <a:ext uri="{FF2B5EF4-FFF2-40B4-BE49-F238E27FC236}">
                <a16:creationId xmlns:a16="http://schemas.microsoft.com/office/drawing/2014/main" id="{5610A3AA-F6E5-89DF-3530-554924FDF4F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2982" y="1700784"/>
            <a:ext cx="182880" cy="182880"/>
          </a:xfrm>
          <a:prstGeom prst="rect">
            <a:avLst/>
          </a:prstGeom>
        </xdr:spPr>
      </xdr:pic>
      <xdr:pic>
        <xdr:nvPicPr>
          <xdr:cNvPr id="15" name="Picture 14">
            <a:extLst>
              <a:ext uri="{FF2B5EF4-FFF2-40B4-BE49-F238E27FC236}">
                <a16:creationId xmlns:a16="http://schemas.microsoft.com/office/drawing/2014/main" id="{4B5E6519-FD73-3211-984B-CD83A422FD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74664" y="1121620"/>
            <a:ext cx="182880" cy="182880"/>
          </a:xfrm>
          <a:prstGeom prst="rect">
            <a:avLst/>
          </a:prstGeom>
        </xdr:spPr>
      </xdr:pic>
      <xdr:pic>
        <xdr:nvPicPr>
          <xdr:cNvPr id="16" name="Picture 15">
            <a:extLst>
              <a:ext uri="{FF2B5EF4-FFF2-40B4-BE49-F238E27FC236}">
                <a16:creationId xmlns:a16="http://schemas.microsoft.com/office/drawing/2014/main" id="{C80E8288-7D00-A9F0-65C4-24833D33FDA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2982" y="2145064"/>
            <a:ext cx="182880" cy="182880"/>
          </a:xfrm>
          <a:prstGeom prst="rect">
            <a:avLst/>
          </a:prstGeom>
        </xdr:spPr>
      </xdr:pic>
      <xdr:pic>
        <xdr:nvPicPr>
          <xdr:cNvPr id="17" name="Picture 16">
            <a:extLst>
              <a:ext uri="{FF2B5EF4-FFF2-40B4-BE49-F238E27FC236}">
                <a16:creationId xmlns:a16="http://schemas.microsoft.com/office/drawing/2014/main" id="{02F91184-4942-82BC-9A69-F9033DFEEB2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25568" y="1112476"/>
            <a:ext cx="182880" cy="182880"/>
          </a:xfrm>
          <a:prstGeom prst="rect">
            <a:avLst/>
          </a:prstGeom>
        </xdr:spPr>
      </xdr:pic>
      <xdr:sp macro="" textlink="">
        <xdr:nvSpPr>
          <xdr:cNvPr id="18" name="TextBox 36">
            <a:extLst>
              <a:ext uri="{FF2B5EF4-FFF2-40B4-BE49-F238E27FC236}">
                <a16:creationId xmlns:a16="http://schemas.microsoft.com/office/drawing/2014/main" id="{0721F494-B98C-42BB-57B4-C322867C47E0}"/>
              </a:ext>
            </a:extLst>
          </xdr:cNvPr>
          <xdr:cNvSpPr txBox="1"/>
        </xdr:nvSpPr>
        <xdr:spPr>
          <a:xfrm>
            <a:off x="1569162" y="1081680"/>
            <a:ext cx="868680" cy="26517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chemeClr val="bg1"/>
                </a:solidFill>
              </a:rPr>
              <a:t>Revenue</a:t>
            </a:r>
          </a:p>
        </xdr:txBody>
      </xdr:sp>
      <xdr:sp macro="" textlink="">
        <xdr:nvSpPr>
          <xdr:cNvPr id="19" name="TextBox 37">
            <a:extLst>
              <a:ext uri="{FF2B5EF4-FFF2-40B4-BE49-F238E27FC236}">
                <a16:creationId xmlns:a16="http://schemas.microsoft.com/office/drawing/2014/main" id="{26432B3B-6721-01FD-FAA3-2C08031F47A8}"/>
              </a:ext>
            </a:extLst>
          </xdr:cNvPr>
          <xdr:cNvSpPr txBox="1"/>
        </xdr:nvSpPr>
        <xdr:spPr>
          <a:xfrm>
            <a:off x="5053026" y="1071328"/>
            <a:ext cx="868680" cy="26517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chemeClr val="bg1"/>
                </a:solidFill>
              </a:rPr>
              <a:t>Quantity</a:t>
            </a:r>
          </a:p>
        </xdr:txBody>
      </xdr:sp>
      <xdr:sp macro="" textlink="">
        <xdr:nvSpPr>
          <xdr:cNvPr id="20" name="TextBox 38">
            <a:extLst>
              <a:ext uri="{FF2B5EF4-FFF2-40B4-BE49-F238E27FC236}">
                <a16:creationId xmlns:a16="http://schemas.microsoft.com/office/drawing/2014/main" id="{F86F631F-C99A-B0F3-31A9-87DAF76C7CEF}"/>
              </a:ext>
            </a:extLst>
          </xdr:cNvPr>
          <xdr:cNvSpPr txBox="1"/>
        </xdr:nvSpPr>
        <xdr:spPr>
          <a:xfrm>
            <a:off x="8730773" y="1051560"/>
            <a:ext cx="868680" cy="26517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chemeClr val="bg1"/>
                </a:solidFill>
              </a:rPr>
              <a:t>Profit</a:t>
            </a:r>
          </a:p>
        </xdr:txBody>
      </xdr:sp>
      <xdr:sp macro="" textlink="">
        <xdr:nvSpPr>
          <xdr:cNvPr id="21" name="TextBox 39">
            <a:hlinkClick xmlns:r="http://schemas.openxmlformats.org/officeDocument/2006/relationships" r:id="rId8"/>
            <a:extLst>
              <a:ext uri="{FF2B5EF4-FFF2-40B4-BE49-F238E27FC236}">
                <a16:creationId xmlns:a16="http://schemas.microsoft.com/office/drawing/2014/main" id="{B9846205-FC0C-BBFF-8925-7DED797F7082}"/>
              </a:ext>
            </a:extLst>
          </xdr:cNvPr>
          <xdr:cNvSpPr txBox="1"/>
        </xdr:nvSpPr>
        <xdr:spPr>
          <a:xfrm>
            <a:off x="-363270" y="1654704"/>
            <a:ext cx="868680" cy="26517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chemeClr val="bg1"/>
                </a:solidFill>
              </a:rPr>
              <a:t>Dashboard</a:t>
            </a:r>
          </a:p>
        </xdr:txBody>
      </xdr:sp>
      <xdr:sp macro="" textlink="">
        <xdr:nvSpPr>
          <xdr:cNvPr id="22" name="TextBox 41">
            <a:hlinkClick xmlns:r="http://schemas.openxmlformats.org/officeDocument/2006/relationships" r:id="rId9"/>
            <a:extLst>
              <a:ext uri="{FF2B5EF4-FFF2-40B4-BE49-F238E27FC236}">
                <a16:creationId xmlns:a16="http://schemas.microsoft.com/office/drawing/2014/main" id="{E48EFBC1-DC76-0C1B-BE8F-26FFF1757215}"/>
              </a:ext>
            </a:extLst>
          </xdr:cNvPr>
          <xdr:cNvSpPr txBox="1"/>
        </xdr:nvSpPr>
        <xdr:spPr>
          <a:xfrm>
            <a:off x="-375462" y="2090568"/>
            <a:ext cx="868680" cy="26517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chemeClr val="bg1"/>
                </a:solidFill>
              </a:rPr>
              <a:t>Analysis</a:t>
            </a:r>
          </a:p>
        </xdr:txBody>
      </xdr:sp>
      <xdr:sp macro="" textlink="">
        <xdr:nvSpPr>
          <xdr:cNvPr id="23" name="TextBox 42">
            <a:hlinkClick xmlns:r="http://schemas.openxmlformats.org/officeDocument/2006/relationships" r:id="rId10"/>
            <a:extLst>
              <a:ext uri="{FF2B5EF4-FFF2-40B4-BE49-F238E27FC236}">
                <a16:creationId xmlns:a16="http://schemas.microsoft.com/office/drawing/2014/main" id="{6DBA61D9-DD7A-0430-E44A-5ADE74FD3929}"/>
              </a:ext>
            </a:extLst>
          </xdr:cNvPr>
          <xdr:cNvSpPr txBox="1"/>
        </xdr:nvSpPr>
        <xdr:spPr>
          <a:xfrm>
            <a:off x="-332790" y="2654448"/>
            <a:ext cx="868680" cy="26517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chemeClr val="bg1"/>
                </a:solidFill>
              </a:rPr>
              <a:t>Contact</a:t>
            </a:r>
          </a:p>
        </xdr:txBody>
      </xdr:sp>
    </xdr:grpSp>
    <xdr:clientData/>
  </xdr:twoCellAnchor>
  <xdr:twoCellAnchor>
    <xdr:from>
      <xdr:col>9</xdr:col>
      <xdr:colOff>256032</xdr:colOff>
      <xdr:row>3</xdr:row>
      <xdr:rowOff>164592</xdr:rowOff>
    </xdr:from>
    <xdr:to>
      <xdr:col>10</xdr:col>
      <xdr:colOff>566928</xdr:colOff>
      <xdr:row>6</xdr:row>
      <xdr:rowOff>100584</xdr:rowOff>
    </xdr:to>
    <xdr:sp macro="" textlink="Analysis!$B$4">
      <xdr:nvSpPr>
        <xdr:cNvPr id="24" name="TextBox 23">
          <a:extLst>
            <a:ext uri="{FF2B5EF4-FFF2-40B4-BE49-F238E27FC236}">
              <a16:creationId xmlns:a16="http://schemas.microsoft.com/office/drawing/2014/main" id="{965C59E0-1576-67A5-46EA-F21AB146D5D9}"/>
            </a:ext>
          </a:extLst>
        </xdr:cNvPr>
        <xdr:cNvSpPr txBox="1"/>
      </xdr:nvSpPr>
      <xdr:spPr>
        <a:xfrm>
          <a:off x="6016752" y="713232"/>
          <a:ext cx="950976" cy="484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721578-F14F-489D-9483-740600B1ADE7}" type="TxLink">
            <a:rPr lang="en-US" sz="1800" b="0" i="0" u="none" strike="noStrike">
              <a:solidFill>
                <a:schemeClr val="bg1"/>
              </a:solidFill>
              <a:latin typeface="Segoe UI Semibold" panose="020B0702040204020203" pitchFamily="34" charset="0"/>
              <a:cs typeface="Segoe UI Semibold" panose="020B0702040204020203" pitchFamily="34" charset="0"/>
            </a:rPr>
            <a:pPr/>
            <a:t>$1.79M</a:t>
          </a:fld>
          <a:endParaRPr lang="en-US" sz="1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344424</xdr:colOff>
      <xdr:row>3</xdr:row>
      <xdr:rowOff>152400</xdr:rowOff>
    </xdr:from>
    <xdr:to>
      <xdr:col>16</xdr:col>
      <xdr:colOff>9144</xdr:colOff>
      <xdr:row>5</xdr:row>
      <xdr:rowOff>164592</xdr:rowOff>
    </xdr:to>
    <xdr:sp macro="" textlink="Analysis!$E$4">
      <xdr:nvSpPr>
        <xdr:cNvPr id="25" name="TextBox 24">
          <a:extLst>
            <a:ext uri="{FF2B5EF4-FFF2-40B4-BE49-F238E27FC236}">
              <a16:creationId xmlns:a16="http://schemas.microsoft.com/office/drawing/2014/main" id="{5481A6DB-A215-9119-F867-AC2458308388}"/>
            </a:ext>
          </a:extLst>
        </xdr:cNvPr>
        <xdr:cNvSpPr txBox="1"/>
      </xdr:nvSpPr>
      <xdr:spPr>
        <a:xfrm>
          <a:off x="9305544" y="701040"/>
          <a:ext cx="944880" cy="377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98256D-BF93-425D-9F15-6C897E587840}" type="TxLink">
            <a:rPr lang="en-US" sz="1600" b="0" i="0" u="none" strike="noStrike">
              <a:solidFill>
                <a:schemeClr val="bg1"/>
              </a:solidFill>
              <a:latin typeface="Segoe UI Semibold" panose="020B0702040204020203" pitchFamily="34" charset="0"/>
              <a:ea typeface="+mn-ea"/>
              <a:cs typeface="Segoe UI Semibold" panose="020B0702040204020203" pitchFamily="34" charset="0"/>
            </a:rPr>
            <a:pPr marL="0" indent="0"/>
            <a:t> 18,298 </a:t>
          </a:fld>
          <a:endParaRPr lang="en-US" sz="16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542544</xdr:colOff>
      <xdr:row>3</xdr:row>
      <xdr:rowOff>67056</xdr:rowOff>
    </xdr:from>
    <xdr:to>
      <xdr:col>21</xdr:col>
      <xdr:colOff>484632</xdr:colOff>
      <xdr:row>5</xdr:row>
      <xdr:rowOff>79248</xdr:rowOff>
    </xdr:to>
    <xdr:sp macro="" textlink="Analysis!$B$9">
      <xdr:nvSpPr>
        <xdr:cNvPr id="26" name="TextBox 25">
          <a:extLst>
            <a:ext uri="{FF2B5EF4-FFF2-40B4-BE49-F238E27FC236}">
              <a16:creationId xmlns:a16="http://schemas.microsoft.com/office/drawing/2014/main" id="{CC40B246-BAFA-00A6-4D0B-88C969143E77}"/>
            </a:ext>
          </a:extLst>
        </xdr:cNvPr>
        <xdr:cNvSpPr txBox="1"/>
      </xdr:nvSpPr>
      <xdr:spPr>
        <a:xfrm>
          <a:off x="12704064" y="615696"/>
          <a:ext cx="1222248" cy="377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BBECBA-CD26-4FCF-8567-0EBFC1C83480}" type="TxLink">
            <a:rPr lang="en-US" sz="1800" b="0" i="0" u="none" strike="noStrike">
              <a:solidFill>
                <a:schemeClr val="bg1"/>
              </a:solidFill>
              <a:latin typeface="Segoe UI Semibold" panose="020B0702040204020203" pitchFamily="34" charset="0"/>
              <a:ea typeface="+mn-ea"/>
              <a:cs typeface="Segoe UI Semibold" panose="020B0702040204020203" pitchFamily="34" charset="0"/>
            </a:rPr>
            <a:pPr marL="0" indent="0"/>
            <a:t>$453.87K</a:t>
          </a:fld>
          <a:endParaRPr lang="en-US" sz="18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609600</xdr:colOff>
      <xdr:row>7</xdr:row>
      <xdr:rowOff>24384</xdr:rowOff>
    </xdr:from>
    <xdr:to>
      <xdr:col>16</xdr:col>
      <xdr:colOff>155448</xdr:colOff>
      <xdr:row>8</xdr:row>
      <xdr:rowOff>109728</xdr:rowOff>
    </xdr:to>
    <xdr:sp macro="" textlink="Analysis!$F$9">
      <xdr:nvSpPr>
        <xdr:cNvPr id="27" name="TextBox 26">
          <a:extLst>
            <a:ext uri="{FF2B5EF4-FFF2-40B4-BE49-F238E27FC236}">
              <a16:creationId xmlns:a16="http://schemas.microsoft.com/office/drawing/2014/main" id="{7AD80766-9B3F-28AC-765A-A5C0574FD6D1}"/>
            </a:ext>
          </a:extLst>
        </xdr:cNvPr>
        <xdr:cNvSpPr txBox="1"/>
      </xdr:nvSpPr>
      <xdr:spPr>
        <a:xfrm>
          <a:off x="9570720" y="1304544"/>
          <a:ext cx="826008" cy="268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4A86EE-5B78-4728-90C5-F2ABED980179}" type="TxLink">
            <a:rPr lang="en-US" sz="1100" b="0" i="0" u="none" strike="noStrike">
              <a:solidFill>
                <a:schemeClr val="bg1"/>
              </a:solidFill>
              <a:latin typeface="Segoe UI Semibold" panose="020B0702040204020203" pitchFamily="34" charset="0"/>
              <a:ea typeface="+mn-ea"/>
              <a:cs typeface="Segoe UI Semibold" panose="020B0702040204020203" pitchFamily="34" charset="0"/>
            </a:rPr>
            <a:pPr marL="0" indent="0"/>
            <a:t> 16,722 </a:t>
          </a:fld>
          <a:endParaRPr lang="en-US" sz="11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548640</xdr:colOff>
      <xdr:row>7</xdr:row>
      <xdr:rowOff>45720</xdr:rowOff>
    </xdr:from>
    <xdr:to>
      <xdr:col>11</xdr:col>
      <xdr:colOff>512064</xdr:colOff>
      <xdr:row>8</xdr:row>
      <xdr:rowOff>164592</xdr:rowOff>
    </xdr:to>
    <xdr:sp macro="" textlink="">
      <xdr:nvSpPr>
        <xdr:cNvPr id="29" name="TextBox 28">
          <a:extLst>
            <a:ext uri="{FF2B5EF4-FFF2-40B4-BE49-F238E27FC236}">
              <a16:creationId xmlns:a16="http://schemas.microsoft.com/office/drawing/2014/main" id="{66A5DC96-63E6-1C1F-16EA-BE8B18ECAB3A}"/>
            </a:ext>
          </a:extLst>
        </xdr:cNvPr>
        <xdr:cNvSpPr txBox="1"/>
      </xdr:nvSpPr>
      <xdr:spPr>
        <a:xfrm>
          <a:off x="6949440" y="1325880"/>
          <a:ext cx="603504"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latin typeface="Segoe UI Semibold" panose="020B0702040204020203" pitchFamily="34" charset="0"/>
              <a:cs typeface="Segoe UI Semibold" panose="020B0702040204020203" pitchFamily="34" charset="0"/>
            </a:rPr>
            <a:t>MoM:</a:t>
          </a:r>
        </a:p>
      </xdr:txBody>
    </xdr:sp>
    <xdr:clientData/>
  </xdr:twoCellAnchor>
  <xdr:twoCellAnchor>
    <xdr:from>
      <xdr:col>9</xdr:col>
      <xdr:colOff>445008</xdr:colOff>
      <xdr:row>7</xdr:row>
      <xdr:rowOff>51816</xdr:rowOff>
    </xdr:from>
    <xdr:to>
      <xdr:col>10</xdr:col>
      <xdr:colOff>530352</xdr:colOff>
      <xdr:row>9</xdr:row>
      <xdr:rowOff>18288</xdr:rowOff>
    </xdr:to>
    <xdr:sp macro="" textlink="Analysis!C$4">
      <xdr:nvSpPr>
        <xdr:cNvPr id="30" name="TextBox 29">
          <a:extLst>
            <a:ext uri="{FF2B5EF4-FFF2-40B4-BE49-F238E27FC236}">
              <a16:creationId xmlns:a16="http://schemas.microsoft.com/office/drawing/2014/main" id="{65C1084F-5F40-6F78-DEBD-519C46DFBCF7}"/>
            </a:ext>
          </a:extLst>
        </xdr:cNvPr>
        <xdr:cNvSpPr txBox="1"/>
      </xdr:nvSpPr>
      <xdr:spPr>
        <a:xfrm>
          <a:off x="6205728" y="1331976"/>
          <a:ext cx="725424" cy="332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614DD3-D298-4C58-9458-5FA932FFE03C}" type="TxLink">
            <a:rPr lang="en-US" sz="1100" b="0" i="0" u="none" strike="noStrike">
              <a:solidFill>
                <a:schemeClr val="bg1"/>
              </a:solidFill>
              <a:latin typeface="Segoe UI Semibold" panose="020B0702040204020203" pitchFamily="34" charset="0"/>
              <a:ea typeface="+mn-ea"/>
              <a:cs typeface="Segoe UI Semibold" panose="020B0702040204020203" pitchFamily="34" charset="0"/>
            </a:rPr>
            <a:pPr marL="0" indent="0"/>
            <a:t>$1.63M</a:t>
          </a:fld>
          <a:endParaRPr lang="en-US" sz="11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9</xdr:col>
      <xdr:colOff>149352</xdr:colOff>
      <xdr:row>7</xdr:row>
      <xdr:rowOff>76200</xdr:rowOff>
    </xdr:from>
    <xdr:to>
      <xdr:col>9</xdr:col>
      <xdr:colOff>621792</xdr:colOff>
      <xdr:row>8</xdr:row>
      <xdr:rowOff>173736</xdr:rowOff>
    </xdr:to>
    <xdr:sp macro="" textlink="">
      <xdr:nvSpPr>
        <xdr:cNvPr id="31" name="TextBox 30">
          <a:extLst>
            <a:ext uri="{FF2B5EF4-FFF2-40B4-BE49-F238E27FC236}">
              <a16:creationId xmlns:a16="http://schemas.microsoft.com/office/drawing/2014/main" id="{C17666C2-FDA7-1BDA-47DE-A6D0ED5CA6F7}"/>
            </a:ext>
          </a:extLst>
        </xdr:cNvPr>
        <xdr:cNvSpPr txBox="1"/>
      </xdr:nvSpPr>
      <xdr:spPr>
        <a:xfrm>
          <a:off x="5910072" y="1356360"/>
          <a:ext cx="472440" cy="28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latin typeface="Segoe UI Semibold" panose="020B0702040204020203" pitchFamily="34" charset="0"/>
              <a:cs typeface="Segoe UI Semibold" panose="020B0702040204020203" pitchFamily="34" charset="0"/>
            </a:rPr>
            <a:t>PM:</a:t>
          </a:r>
        </a:p>
      </xdr:txBody>
    </xdr:sp>
    <xdr:clientData/>
  </xdr:twoCellAnchor>
  <xdr:twoCellAnchor>
    <xdr:from>
      <xdr:col>16</xdr:col>
      <xdr:colOff>115824</xdr:colOff>
      <xdr:row>6</xdr:row>
      <xdr:rowOff>179832</xdr:rowOff>
    </xdr:from>
    <xdr:to>
      <xdr:col>17</xdr:col>
      <xdr:colOff>79248</xdr:colOff>
      <xdr:row>8</xdr:row>
      <xdr:rowOff>115824</xdr:rowOff>
    </xdr:to>
    <xdr:sp macro="" textlink="">
      <xdr:nvSpPr>
        <xdr:cNvPr id="32" name="TextBox 31">
          <a:extLst>
            <a:ext uri="{FF2B5EF4-FFF2-40B4-BE49-F238E27FC236}">
              <a16:creationId xmlns:a16="http://schemas.microsoft.com/office/drawing/2014/main" id="{542C44CA-3BB3-83E2-C65D-EEEF609AD919}"/>
            </a:ext>
          </a:extLst>
        </xdr:cNvPr>
        <xdr:cNvSpPr txBox="1"/>
      </xdr:nvSpPr>
      <xdr:spPr>
        <a:xfrm>
          <a:off x="10357104" y="1277112"/>
          <a:ext cx="603504"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latin typeface="Segoe UI Semibold" panose="020B0702040204020203" pitchFamily="34" charset="0"/>
              <a:cs typeface="Segoe UI Semibold" panose="020B0702040204020203" pitchFamily="34" charset="0"/>
            </a:rPr>
            <a:t>MoM:</a:t>
          </a:r>
        </a:p>
      </xdr:txBody>
    </xdr:sp>
    <xdr:clientData/>
  </xdr:twoCellAnchor>
  <xdr:twoCellAnchor>
    <xdr:from>
      <xdr:col>14</xdr:col>
      <xdr:colOff>356616</xdr:colOff>
      <xdr:row>7</xdr:row>
      <xdr:rowOff>27432</xdr:rowOff>
    </xdr:from>
    <xdr:to>
      <xdr:col>15</xdr:col>
      <xdr:colOff>188976</xdr:colOff>
      <xdr:row>8</xdr:row>
      <xdr:rowOff>124968</xdr:rowOff>
    </xdr:to>
    <xdr:sp macro="" textlink="">
      <xdr:nvSpPr>
        <xdr:cNvPr id="33" name="TextBox 32">
          <a:extLst>
            <a:ext uri="{FF2B5EF4-FFF2-40B4-BE49-F238E27FC236}">
              <a16:creationId xmlns:a16="http://schemas.microsoft.com/office/drawing/2014/main" id="{85826E71-2873-39BF-D720-1F767B700C19}"/>
            </a:ext>
          </a:extLst>
        </xdr:cNvPr>
        <xdr:cNvSpPr txBox="1"/>
      </xdr:nvSpPr>
      <xdr:spPr>
        <a:xfrm>
          <a:off x="9317736" y="1307592"/>
          <a:ext cx="472440" cy="28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latin typeface="Segoe UI Semibold" panose="020B0702040204020203" pitchFamily="34" charset="0"/>
              <a:cs typeface="Segoe UI Semibold" panose="020B0702040204020203" pitchFamily="34" charset="0"/>
            </a:rPr>
            <a:t>PM:</a:t>
          </a:r>
        </a:p>
      </xdr:txBody>
    </xdr:sp>
    <xdr:clientData/>
  </xdr:twoCellAnchor>
  <xdr:twoCellAnchor>
    <xdr:from>
      <xdr:col>21</xdr:col>
      <xdr:colOff>323088</xdr:colOff>
      <xdr:row>6</xdr:row>
      <xdr:rowOff>131064</xdr:rowOff>
    </xdr:from>
    <xdr:to>
      <xdr:col>22</xdr:col>
      <xdr:colOff>286512</xdr:colOff>
      <xdr:row>8</xdr:row>
      <xdr:rowOff>67056</xdr:rowOff>
    </xdr:to>
    <xdr:sp macro="" textlink="">
      <xdr:nvSpPr>
        <xdr:cNvPr id="34" name="TextBox 33">
          <a:extLst>
            <a:ext uri="{FF2B5EF4-FFF2-40B4-BE49-F238E27FC236}">
              <a16:creationId xmlns:a16="http://schemas.microsoft.com/office/drawing/2014/main" id="{E3D9E29E-D69A-5DC3-E2C1-346EC348B410}"/>
            </a:ext>
          </a:extLst>
        </xdr:cNvPr>
        <xdr:cNvSpPr txBox="1"/>
      </xdr:nvSpPr>
      <xdr:spPr>
        <a:xfrm>
          <a:off x="13764768" y="1228344"/>
          <a:ext cx="603504"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latin typeface="Segoe UI Semibold" panose="020B0702040204020203" pitchFamily="34" charset="0"/>
              <a:cs typeface="Segoe UI Semibold" panose="020B0702040204020203" pitchFamily="34" charset="0"/>
            </a:rPr>
            <a:t>MoM:</a:t>
          </a:r>
        </a:p>
      </xdr:txBody>
    </xdr:sp>
    <xdr:clientData/>
  </xdr:twoCellAnchor>
  <xdr:twoCellAnchor>
    <xdr:from>
      <xdr:col>19</xdr:col>
      <xdr:colOff>563880</xdr:colOff>
      <xdr:row>6</xdr:row>
      <xdr:rowOff>161544</xdr:rowOff>
    </xdr:from>
    <xdr:to>
      <xdr:col>20</xdr:col>
      <xdr:colOff>396240</xdr:colOff>
      <xdr:row>8</xdr:row>
      <xdr:rowOff>76200</xdr:rowOff>
    </xdr:to>
    <xdr:sp macro="" textlink="">
      <xdr:nvSpPr>
        <xdr:cNvPr id="35" name="TextBox 34">
          <a:extLst>
            <a:ext uri="{FF2B5EF4-FFF2-40B4-BE49-F238E27FC236}">
              <a16:creationId xmlns:a16="http://schemas.microsoft.com/office/drawing/2014/main" id="{3093992E-2B7C-678B-4C5A-6631BC20850D}"/>
            </a:ext>
          </a:extLst>
        </xdr:cNvPr>
        <xdr:cNvSpPr txBox="1"/>
      </xdr:nvSpPr>
      <xdr:spPr>
        <a:xfrm>
          <a:off x="12725400" y="1258824"/>
          <a:ext cx="472440" cy="28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latin typeface="Segoe UI Semibold" panose="020B0702040204020203" pitchFamily="34" charset="0"/>
              <a:cs typeface="Segoe UI Semibold" panose="020B0702040204020203" pitchFamily="34" charset="0"/>
            </a:rPr>
            <a:t>PM:</a:t>
          </a:r>
        </a:p>
      </xdr:txBody>
    </xdr:sp>
    <xdr:clientData/>
  </xdr:twoCellAnchor>
  <xdr:twoCellAnchor>
    <xdr:from>
      <xdr:col>22</xdr:col>
      <xdr:colOff>88392</xdr:colOff>
      <xdr:row>6</xdr:row>
      <xdr:rowOff>124968</xdr:rowOff>
    </xdr:from>
    <xdr:to>
      <xdr:col>23</xdr:col>
      <xdr:colOff>320040</xdr:colOff>
      <xdr:row>8</xdr:row>
      <xdr:rowOff>118872</xdr:rowOff>
    </xdr:to>
    <xdr:sp macro="" textlink="Analysis!$E$9">
      <xdr:nvSpPr>
        <xdr:cNvPr id="37" name="TextBox 36">
          <a:extLst>
            <a:ext uri="{FF2B5EF4-FFF2-40B4-BE49-F238E27FC236}">
              <a16:creationId xmlns:a16="http://schemas.microsoft.com/office/drawing/2014/main" id="{56D9CB06-5D3F-3ADE-3B5B-C0173D75F79C}"/>
            </a:ext>
          </a:extLst>
        </xdr:cNvPr>
        <xdr:cNvSpPr txBox="1"/>
      </xdr:nvSpPr>
      <xdr:spPr>
        <a:xfrm>
          <a:off x="14170152" y="1222248"/>
          <a:ext cx="871728" cy="35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D45392-BCA0-4EFA-B3EB-6725B2ABE850}" type="TxLink">
            <a:rPr lang="en-US" sz="1000" b="0" i="0" u="none" strike="noStrike">
              <a:solidFill>
                <a:schemeClr val="bg1"/>
              </a:solidFill>
              <a:latin typeface="Segoe UI Semibold" panose="020B0702040204020203" pitchFamily="34" charset="0"/>
              <a:ea typeface="+mn-ea"/>
              <a:cs typeface="Segoe UI Semibold" panose="020B0702040204020203" pitchFamily="34" charset="0"/>
            </a:rPr>
            <a:pPr marL="0" indent="0"/>
            <a:t>▲9.3%</a:t>
          </a:fld>
          <a:endParaRPr lang="en-US" sz="1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524256</xdr:colOff>
      <xdr:row>7</xdr:row>
      <xdr:rowOff>21336</xdr:rowOff>
    </xdr:from>
    <xdr:to>
      <xdr:col>17</xdr:col>
      <xdr:colOff>603504</xdr:colOff>
      <xdr:row>8</xdr:row>
      <xdr:rowOff>118872</xdr:rowOff>
    </xdr:to>
    <xdr:sp macro="" textlink="Analysis!$D$9">
      <xdr:nvSpPr>
        <xdr:cNvPr id="38" name="TextBox 37">
          <a:extLst>
            <a:ext uri="{FF2B5EF4-FFF2-40B4-BE49-F238E27FC236}">
              <a16:creationId xmlns:a16="http://schemas.microsoft.com/office/drawing/2014/main" id="{20BB5E7C-B85D-9312-C9A7-1B36318DBD2A}"/>
            </a:ext>
          </a:extLst>
        </xdr:cNvPr>
        <xdr:cNvSpPr txBox="1"/>
      </xdr:nvSpPr>
      <xdr:spPr>
        <a:xfrm>
          <a:off x="10765536" y="1301496"/>
          <a:ext cx="719328" cy="28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3A3D48-0E79-4117-A2F1-A7258B70357F}" type="TxLink">
            <a:rPr lang="en-US" sz="1000" b="0" i="0" u="none" strike="noStrike">
              <a:solidFill>
                <a:schemeClr val="bg1"/>
              </a:solidFill>
              <a:latin typeface="Segoe UI Semibold" panose="020B0702040204020203" pitchFamily="34" charset="0"/>
              <a:ea typeface="+mn-ea"/>
              <a:cs typeface="Segoe UI Semibold" panose="020B0702040204020203" pitchFamily="34" charset="0"/>
            </a:rPr>
            <a:pPr marL="0" indent="0"/>
            <a:t>▲9.4%</a:t>
          </a:fld>
          <a:endParaRPr lang="en-US" sz="1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213360</xdr:colOff>
      <xdr:row>6</xdr:row>
      <xdr:rowOff>158496</xdr:rowOff>
    </xdr:from>
    <xdr:to>
      <xdr:col>21</xdr:col>
      <xdr:colOff>399288</xdr:colOff>
      <xdr:row>8</xdr:row>
      <xdr:rowOff>60960</xdr:rowOff>
    </xdr:to>
    <xdr:sp macro="" textlink="Analysis!$G$9">
      <xdr:nvSpPr>
        <xdr:cNvPr id="39" name="TextBox 38">
          <a:extLst>
            <a:ext uri="{FF2B5EF4-FFF2-40B4-BE49-F238E27FC236}">
              <a16:creationId xmlns:a16="http://schemas.microsoft.com/office/drawing/2014/main" id="{9EC7282D-7829-D5B6-DFBE-5ABF746032E8}"/>
            </a:ext>
          </a:extLst>
        </xdr:cNvPr>
        <xdr:cNvSpPr txBox="1"/>
      </xdr:nvSpPr>
      <xdr:spPr>
        <a:xfrm>
          <a:off x="13014960" y="1255776"/>
          <a:ext cx="826008" cy="268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FFC81B2-35F5-46CB-9520-77344E314B3B}" type="TxLink">
            <a:rPr lang="en-US" sz="1100" b="0" i="0" u="none" strike="noStrike">
              <a:solidFill>
                <a:schemeClr val="bg1"/>
              </a:solidFill>
              <a:latin typeface="Segoe UI Semibold" panose="020B0702040204020203" pitchFamily="34" charset="0"/>
              <a:ea typeface="+mn-ea"/>
              <a:cs typeface="Segoe UI Semibold" panose="020B0702040204020203" pitchFamily="34" charset="0"/>
            </a:rPr>
            <a:pPr marL="0" indent="0"/>
            <a:t>$415.16K</a:t>
          </a:fld>
          <a:endParaRPr lang="en-US" sz="11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28</xdr:col>
      <xdr:colOff>0</xdr:colOff>
      <xdr:row>13</xdr:row>
      <xdr:rowOff>0</xdr:rowOff>
    </xdr:from>
    <xdr:to>
      <xdr:col>28</xdr:col>
      <xdr:colOff>636422</xdr:colOff>
      <xdr:row>14</xdr:row>
      <xdr:rowOff>7315</xdr:rowOff>
    </xdr:to>
    <xdr:pic>
      <xdr:nvPicPr>
        <xdr:cNvPr id="41" name="Picture 40">
          <a:extLst>
            <a:ext uri="{FF2B5EF4-FFF2-40B4-BE49-F238E27FC236}">
              <a16:creationId xmlns:a16="http://schemas.microsoft.com/office/drawing/2014/main" id="{184C9468-E392-BEA1-D7CA-8CABC0306C8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8024653" y="2377440"/>
          <a:ext cx="636422" cy="19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13</xdr:row>
      <xdr:rowOff>0</xdr:rowOff>
    </xdr:from>
    <xdr:to>
      <xdr:col>28</xdr:col>
      <xdr:colOff>636422</xdr:colOff>
      <xdr:row>14</xdr:row>
      <xdr:rowOff>7315</xdr:rowOff>
    </xdr:to>
    <xdr:pic>
      <xdr:nvPicPr>
        <xdr:cNvPr id="44" name="Picture 43">
          <a:extLst>
            <a:ext uri="{FF2B5EF4-FFF2-40B4-BE49-F238E27FC236}">
              <a16:creationId xmlns:a16="http://schemas.microsoft.com/office/drawing/2014/main" id="{DD15C45F-8355-0A98-5550-26A85B1EB32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8024653" y="2377440"/>
          <a:ext cx="636422" cy="19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384048</xdr:colOff>
      <xdr:row>7</xdr:row>
      <xdr:rowOff>109728</xdr:rowOff>
    </xdr:from>
    <xdr:to>
      <xdr:col>12</xdr:col>
      <xdr:colOff>380390</xdr:colOff>
      <xdr:row>8</xdr:row>
      <xdr:rowOff>117043</xdr:rowOff>
    </xdr:to>
    <xdr:pic>
      <xdr:nvPicPr>
        <xdr:cNvPr id="45" name="Picture 44">
          <a:extLst>
            <a:ext uri="{FF2B5EF4-FFF2-40B4-BE49-F238E27FC236}">
              <a16:creationId xmlns:a16="http://schemas.microsoft.com/office/drawing/2014/main" id="{5CFE75D9-267D-0B96-F41B-BBBEA1D3AA6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24928" y="1389888"/>
          <a:ext cx="636422" cy="19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118872</xdr:colOff>
      <xdr:row>10</xdr:row>
      <xdr:rowOff>64008</xdr:rowOff>
    </xdr:from>
    <xdr:to>
      <xdr:col>14</xdr:col>
      <xdr:colOff>146304</xdr:colOff>
      <xdr:row>18</xdr:row>
      <xdr:rowOff>45720</xdr:rowOff>
    </xdr:to>
    <xdr:graphicFrame macro="">
      <xdr:nvGraphicFramePr>
        <xdr:cNvPr id="46" name="Chart 45">
          <a:extLst>
            <a:ext uri="{FF2B5EF4-FFF2-40B4-BE49-F238E27FC236}">
              <a16:creationId xmlns:a16="http://schemas.microsoft.com/office/drawing/2014/main" id="{0DC2EA60-7363-49F1-B26C-59BB7F584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283464</xdr:colOff>
      <xdr:row>9</xdr:row>
      <xdr:rowOff>109728</xdr:rowOff>
    </xdr:from>
    <xdr:to>
      <xdr:col>19</xdr:col>
      <xdr:colOff>347472</xdr:colOff>
      <xdr:row>18</xdr:row>
      <xdr:rowOff>173736</xdr:rowOff>
    </xdr:to>
    <xdr:graphicFrame macro="">
      <xdr:nvGraphicFramePr>
        <xdr:cNvPr id="47" name="Chart 46">
          <a:extLst>
            <a:ext uri="{FF2B5EF4-FFF2-40B4-BE49-F238E27FC236}">
              <a16:creationId xmlns:a16="http://schemas.microsoft.com/office/drawing/2014/main" id="{0CF2779B-3866-4D65-B994-AE5C2C918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466344</xdr:colOff>
      <xdr:row>10</xdr:row>
      <xdr:rowOff>118872</xdr:rowOff>
    </xdr:from>
    <xdr:to>
      <xdr:col>24</xdr:col>
      <xdr:colOff>548640</xdr:colOff>
      <xdr:row>19</xdr:row>
      <xdr:rowOff>109728</xdr:rowOff>
    </xdr:to>
    <xdr:graphicFrame macro="">
      <xdr:nvGraphicFramePr>
        <xdr:cNvPr id="48" name="Chart 47">
          <a:extLst>
            <a:ext uri="{FF2B5EF4-FFF2-40B4-BE49-F238E27FC236}">
              <a16:creationId xmlns:a16="http://schemas.microsoft.com/office/drawing/2014/main" id="{C6FB6B81-EEDF-406D-9DB9-C675B3EBF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128016</xdr:colOff>
      <xdr:row>18</xdr:row>
      <xdr:rowOff>164592</xdr:rowOff>
    </xdr:from>
    <xdr:to>
      <xdr:col>14</xdr:col>
      <xdr:colOff>82296</xdr:colOff>
      <xdr:row>28</xdr:row>
      <xdr:rowOff>118872</xdr:rowOff>
    </xdr:to>
    <xdr:graphicFrame macro="">
      <xdr:nvGraphicFramePr>
        <xdr:cNvPr id="49" name="Chart 48">
          <a:extLst>
            <a:ext uri="{FF2B5EF4-FFF2-40B4-BE49-F238E27FC236}">
              <a16:creationId xmlns:a16="http://schemas.microsoft.com/office/drawing/2014/main" id="{F45FEDF3-B97E-4F34-AB59-CCB1E222E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73152</xdr:colOff>
      <xdr:row>18</xdr:row>
      <xdr:rowOff>137160</xdr:rowOff>
    </xdr:from>
    <xdr:to>
      <xdr:col>19</xdr:col>
      <xdr:colOff>493776</xdr:colOff>
      <xdr:row>29</xdr:row>
      <xdr:rowOff>36576</xdr:rowOff>
    </xdr:to>
    <xdr:graphicFrame macro="">
      <xdr:nvGraphicFramePr>
        <xdr:cNvPr id="56" name="Chart 55">
          <a:extLst>
            <a:ext uri="{FF2B5EF4-FFF2-40B4-BE49-F238E27FC236}">
              <a16:creationId xmlns:a16="http://schemas.microsoft.com/office/drawing/2014/main" id="{2A0CA809-E425-40AC-A86B-248A70375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493776</xdr:colOff>
      <xdr:row>19</xdr:row>
      <xdr:rowOff>137160</xdr:rowOff>
    </xdr:from>
    <xdr:to>
      <xdr:col>24</xdr:col>
      <xdr:colOff>566928</xdr:colOff>
      <xdr:row>28</xdr:row>
      <xdr:rowOff>146304</xdr:rowOff>
    </xdr:to>
    <xdr:graphicFrame macro="">
      <xdr:nvGraphicFramePr>
        <xdr:cNvPr id="40" name="Chart 39">
          <a:extLst>
            <a:ext uri="{FF2B5EF4-FFF2-40B4-BE49-F238E27FC236}">
              <a16:creationId xmlns:a16="http://schemas.microsoft.com/office/drawing/2014/main" id="{9DF61CF2-2B52-4088-A3E2-699C33650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6</xdr:col>
      <xdr:colOff>210313</xdr:colOff>
      <xdr:row>11</xdr:row>
      <xdr:rowOff>146304</xdr:rowOff>
    </xdr:from>
    <xdr:to>
      <xdr:col>8</xdr:col>
      <xdr:colOff>539497</xdr:colOff>
      <xdr:row>18</xdr:row>
      <xdr:rowOff>128016</xdr:rowOff>
    </xdr:to>
    <mc:AlternateContent xmlns:mc="http://schemas.openxmlformats.org/markup-compatibility/2006">
      <mc:Choice xmlns:tsle="http://schemas.microsoft.com/office/drawing/2012/timeslicer" Requires="tsle">
        <xdr:graphicFrame macro="">
          <xdr:nvGraphicFramePr>
            <xdr:cNvPr id="42" name="Date">
              <a:extLst>
                <a:ext uri="{FF2B5EF4-FFF2-40B4-BE49-F238E27FC236}">
                  <a16:creationId xmlns:a16="http://schemas.microsoft.com/office/drawing/2014/main" id="{C7E457F3-4821-4EF2-982E-1FC75436AFF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050793" y="2157984"/>
              <a:ext cx="1609344" cy="12618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182880</xdr:colOff>
      <xdr:row>19</xdr:row>
      <xdr:rowOff>73152</xdr:rowOff>
    </xdr:from>
    <xdr:to>
      <xdr:col>8</xdr:col>
      <xdr:colOff>512064</xdr:colOff>
      <xdr:row>28</xdr:row>
      <xdr:rowOff>173736</xdr:rowOff>
    </xdr:to>
    <mc:AlternateContent xmlns:mc="http://schemas.openxmlformats.org/markup-compatibility/2006">
      <mc:Choice xmlns:a14="http://schemas.microsoft.com/office/drawing/2010/main" Requires="a14">
        <xdr:graphicFrame macro="">
          <xdr:nvGraphicFramePr>
            <xdr:cNvPr id="43" name="Region">
              <a:extLst>
                <a:ext uri="{FF2B5EF4-FFF2-40B4-BE49-F238E27FC236}">
                  <a16:creationId xmlns:a16="http://schemas.microsoft.com/office/drawing/2014/main" id="{D51C48EE-0A06-46B9-BE41-D9192F9E5C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23360" y="3547872"/>
              <a:ext cx="1609344" cy="1746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9144</xdr:colOff>
      <xdr:row>0</xdr:row>
      <xdr:rowOff>18288</xdr:rowOff>
    </xdr:from>
    <xdr:to>
      <xdr:col>13</xdr:col>
      <xdr:colOff>493776</xdr:colOff>
      <xdr:row>1</xdr:row>
      <xdr:rowOff>128016</xdr:rowOff>
    </xdr:to>
    <xdr:sp macro="" textlink="">
      <xdr:nvSpPr>
        <xdr:cNvPr id="51" name="TextBox 36">
          <a:extLst>
            <a:ext uri="{FF2B5EF4-FFF2-40B4-BE49-F238E27FC236}">
              <a16:creationId xmlns:a16="http://schemas.microsoft.com/office/drawing/2014/main" id="{E9DE40C3-4E3B-4F07-B413-4EC25CA52772}"/>
            </a:ext>
          </a:extLst>
        </xdr:cNvPr>
        <xdr:cNvSpPr txBox="1"/>
      </xdr:nvSpPr>
      <xdr:spPr>
        <a:xfrm>
          <a:off x="5769864" y="18288"/>
          <a:ext cx="3044952" cy="29260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latin typeface="Segoe UI Semibold" panose="020B0702040204020203" pitchFamily="34" charset="0"/>
              <a:cs typeface="Segoe UI Semibold" panose="020B0702040204020203" pitchFamily="34" charset="0"/>
            </a:rPr>
            <a:t>Executive</a:t>
          </a:r>
          <a:r>
            <a:rPr lang="en-US" sz="1400" b="1" baseline="0">
              <a:solidFill>
                <a:schemeClr val="bg1"/>
              </a:solidFill>
              <a:latin typeface="Segoe UI Semibold" panose="020B0702040204020203" pitchFamily="34" charset="0"/>
              <a:cs typeface="Segoe UI Semibold" panose="020B0702040204020203" pitchFamily="34" charset="0"/>
            </a:rPr>
            <a:t> </a:t>
          </a:r>
          <a:r>
            <a:rPr lang="en-US" sz="1400" b="1" baseline="0">
              <a:solidFill>
                <a:schemeClr val="bg1">
                  <a:lumMod val="85000"/>
                </a:schemeClr>
              </a:solidFill>
              <a:latin typeface="Segoe UI Semibold" panose="020B0702040204020203" pitchFamily="34" charset="0"/>
              <a:cs typeface="Segoe UI Semibold" panose="020B0702040204020203" pitchFamily="34" charset="0"/>
            </a:rPr>
            <a:t>Growth</a:t>
          </a:r>
          <a:r>
            <a:rPr lang="en-US" sz="1400" b="1" baseline="0">
              <a:solidFill>
                <a:schemeClr val="bg1"/>
              </a:solidFill>
              <a:latin typeface="Segoe UI Semibold" panose="020B0702040204020203" pitchFamily="34" charset="0"/>
              <a:cs typeface="Segoe UI Semibold" panose="020B0702040204020203" pitchFamily="34" charset="0"/>
            </a:rPr>
            <a:t> Overview</a:t>
          </a:r>
          <a:endParaRPr lang="en-US" sz="1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627888</xdr:colOff>
      <xdr:row>1</xdr:row>
      <xdr:rowOff>42672</xdr:rowOff>
    </xdr:from>
    <xdr:to>
      <xdr:col>15</xdr:col>
      <xdr:colOff>557784</xdr:colOff>
      <xdr:row>3</xdr:row>
      <xdr:rowOff>82296</xdr:rowOff>
    </xdr:to>
    <xdr:sp macro="" textlink="">
      <xdr:nvSpPr>
        <xdr:cNvPr id="52" name="TextBox 36">
          <a:extLst>
            <a:ext uri="{FF2B5EF4-FFF2-40B4-BE49-F238E27FC236}">
              <a16:creationId xmlns:a16="http://schemas.microsoft.com/office/drawing/2014/main" id="{BEAB4224-4672-84BB-7450-5893657D94EB}"/>
            </a:ext>
          </a:extLst>
        </xdr:cNvPr>
        <xdr:cNvSpPr txBox="1"/>
      </xdr:nvSpPr>
      <xdr:spPr>
        <a:xfrm>
          <a:off x="5748528" y="225552"/>
          <a:ext cx="4410456" cy="40538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solidFill>
                <a:schemeClr val="bg1">
                  <a:lumMod val="85000"/>
                </a:schemeClr>
              </a:solidFill>
              <a:latin typeface="Segoe UI Semibold" panose="020B0702040204020203" pitchFamily="34" charset="0"/>
              <a:cs typeface="Segoe UI Semibold" panose="020B0702040204020203" pitchFamily="34" charset="0"/>
            </a:rPr>
            <a:t>Real</a:t>
          </a:r>
          <a:r>
            <a:rPr lang="en-US" sz="900" b="1" baseline="0">
              <a:solidFill>
                <a:schemeClr val="bg1">
                  <a:lumMod val="85000"/>
                </a:schemeClr>
              </a:solidFill>
              <a:latin typeface="Segoe UI Semibold" panose="020B0702040204020203" pitchFamily="34" charset="0"/>
              <a:cs typeface="Segoe UI Semibold" panose="020B0702040204020203" pitchFamily="34" charset="0"/>
            </a:rPr>
            <a:t>-time analysis of revenue, volume and profitability trend</a:t>
          </a:r>
          <a:endParaRPr lang="en-US" sz="900" b="1">
            <a:solidFill>
              <a:schemeClr val="bg1">
                <a:lumMod val="8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201168</xdr:colOff>
      <xdr:row>9</xdr:row>
      <xdr:rowOff>118872</xdr:rowOff>
    </xdr:from>
    <xdr:to>
      <xdr:col>13</xdr:col>
      <xdr:colOff>64008</xdr:colOff>
      <xdr:row>11</xdr:row>
      <xdr:rowOff>0</xdr:rowOff>
    </xdr:to>
    <xdr:sp macro="" textlink="">
      <xdr:nvSpPr>
        <xdr:cNvPr id="53" name="TextBox 36">
          <a:extLst>
            <a:ext uri="{FF2B5EF4-FFF2-40B4-BE49-F238E27FC236}">
              <a16:creationId xmlns:a16="http://schemas.microsoft.com/office/drawing/2014/main" id="{5126D03A-C400-4B46-8543-71435866949C}"/>
            </a:ext>
          </a:extLst>
        </xdr:cNvPr>
        <xdr:cNvSpPr txBox="1"/>
      </xdr:nvSpPr>
      <xdr:spPr>
        <a:xfrm>
          <a:off x="5961888" y="1764792"/>
          <a:ext cx="2423160" cy="24688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solidFill>
                <a:schemeClr val="bg1"/>
              </a:solidFill>
              <a:latin typeface="Segoe UI Semibold" panose="020B0702040204020203" pitchFamily="34" charset="0"/>
              <a:cs typeface="Segoe UI Semibold" panose="020B0702040204020203" pitchFamily="34" charset="0"/>
            </a:rPr>
            <a:t>Revenue</a:t>
          </a:r>
          <a:r>
            <a:rPr lang="en-US" sz="800" b="1" baseline="0">
              <a:solidFill>
                <a:schemeClr val="bg1"/>
              </a:solidFill>
              <a:latin typeface="Segoe UI Semibold" panose="020B0702040204020203" pitchFamily="34" charset="0"/>
              <a:cs typeface="Segoe UI Semibold" panose="020B0702040204020203" pitchFamily="34" charset="0"/>
            </a:rPr>
            <a:t> Contribution by Category</a:t>
          </a:r>
          <a:endParaRPr lang="en-US" sz="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316992</xdr:colOff>
      <xdr:row>17</xdr:row>
      <xdr:rowOff>115824</xdr:rowOff>
    </xdr:from>
    <xdr:to>
      <xdr:col>13</xdr:col>
      <xdr:colOff>179832</xdr:colOff>
      <xdr:row>18</xdr:row>
      <xdr:rowOff>137160</xdr:rowOff>
    </xdr:to>
    <xdr:sp macro="" textlink="">
      <xdr:nvSpPr>
        <xdr:cNvPr id="54" name="TextBox 36">
          <a:extLst>
            <a:ext uri="{FF2B5EF4-FFF2-40B4-BE49-F238E27FC236}">
              <a16:creationId xmlns:a16="http://schemas.microsoft.com/office/drawing/2014/main" id="{E14AF88A-5F24-406D-4704-03754231A66C}"/>
            </a:ext>
          </a:extLst>
        </xdr:cNvPr>
        <xdr:cNvSpPr txBox="1"/>
      </xdr:nvSpPr>
      <xdr:spPr>
        <a:xfrm>
          <a:off x="6077712" y="3224784"/>
          <a:ext cx="2423160" cy="20421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solidFill>
                <a:schemeClr val="bg1"/>
              </a:solidFill>
              <a:latin typeface="Segoe UI Semibold" panose="020B0702040204020203" pitchFamily="34" charset="0"/>
              <a:cs typeface="Segoe UI Semibold" panose="020B0702040204020203" pitchFamily="34" charset="0"/>
            </a:rPr>
            <a:t>Weekly</a:t>
          </a:r>
          <a:r>
            <a:rPr lang="en-US" sz="800" b="1" baseline="0">
              <a:solidFill>
                <a:schemeClr val="bg1"/>
              </a:solidFill>
              <a:latin typeface="Segoe UI Semibold" panose="020B0702040204020203" pitchFamily="34" charset="0"/>
              <a:cs typeface="Segoe UI Semibold" panose="020B0702040204020203" pitchFamily="34" charset="0"/>
            </a:rPr>
            <a:t> Revenue Flunctuation</a:t>
          </a:r>
          <a:endParaRPr lang="en-US" sz="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432816</xdr:colOff>
      <xdr:row>17</xdr:row>
      <xdr:rowOff>112776</xdr:rowOff>
    </xdr:from>
    <xdr:to>
      <xdr:col>18</xdr:col>
      <xdr:colOff>295656</xdr:colOff>
      <xdr:row>18</xdr:row>
      <xdr:rowOff>155448</xdr:rowOff>
    </xdr:to>
    <xdr:sp macro="" textlink="">
      <xdr:nvSpPr>
        <xdr:cNvPr id="55" name="TextBox 36">
          <a:extLst>
            <a:ext uri="{FF2B5EF4-FFF2-40B4-BE49-F238E27FC236}">
              <a16:creationId xmlns:a16="http://schemas.microsoft.com/office/drawing/2014/main" id="{6AA96BCC-D12A-7FE3-EEA0-4376B44A97FC}"/>
            </a:ext>
          </a:extLst>
        </xdr:cNvPr>
        <xdr:cNvSpPr txBox="1"/>
      </xdr:nvSpPr>
      <xdr:spPr>
        <a:xfrm>
          <a:off x="9393936" y="3221736"/>
          <a:ext cx="2423160" cy="22555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solidFill>
                <a:schemeClr val="bg1"/>
              </a:solidFill>
              <a:latin typeface="Segoe UI Semibold" panose="020B0702040204020203" pitchFamily="34" charset="0"/>
              <a:cs typeface="Segoe UI Semibold" panose="020B0702040204020203" pitchFamily="34" charset="0"/>
            </a:rPr>
            <a:t>Order</a:t>
          </a:r>
          <a:r>
            <a:rPr lang="en-US" sz="800" b="1" baseline="0">
              <a:solidFill>
                <a:schemeClr val="bg1"/>
              </a:solidFill>
              <a:latin typeface="Segoe UI Semibold" panose="020B0702040204020203" pitchFamily="34" charset="0"/>
              <a:cs typeface="Segoe UI Semibold" panose="020B0702040204020203" pitchFamily="34" charset="0"/>
            </a:rPr>
            <a:t> Volume Cycle</a:t>
          </a:r>
          <a:endParaRPr lang="en-US" sz="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594360</xdr:colOff>
      <xdr:row>18</xdr:row>
      <xdr:rowOff>118872</xdr:rowOff>
    </xdr:from>
    <xdr:to>
      <xdr:col>23</xdr:col>
      <xdr:colOff>457200</xdr:colOff>
      <xdr:row>20</xdr:row>
      <xdr:rowOff>0</xdr:rowOff>
    </xdr:to>
    <xdr:sp macro="" textlink="">
      <xdr:nvSpPr>
        <xdr:cNvPr id="57" name="TextBox 36">
          <a:extLst>
            <a:ext uri="{FF2B5EF4-FFF2-40B4-BE49-F238E27FC236}">
              <a16:creationId xmlns:a16="http://schemas.microsoft.com/office/drawing/2014/main" id="{0861F1A1-B39D-1A46-D8F1-86BA210DD6D1}"/>
            </a:ext>
          </a:extLst>
        </xdr:cNvPr>
        <xdr:cNvSpPr txBox="1"/>
      </xdr:nvSpPr>
      <xdr:spPr>
        <a:xfrm>
          <a:off x="12755880" y="3410712"/>
          <a:ext cx="2423160" cy="24688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solidFill>
                <a:schemeClr val="bg1"/>
              </a:solidFill>
              <a:latin typeface="Segoe UI Semibold" panose="020B0702040204020203" pitchFamily="34" charset="0"/>
              <a:cs typeface="Segoe UI Semibold" panose="020B0702040204020203" pitchFamily="34" charset="0"/>
            </a:rPr>
            <a:t>Margin</a:t>
          </a:r>
          <a:r>
            <a:rPr lang="en-US" sz="800" b="1" baseline="0">
              <a:solidFill>
                <a:schemeClr val="bg1"/>
              </a:solidFill>
              <a:latin typeface="Segoe UI Semibold" panose="020B0702040204020203" pitchFamily="34" charset="0"/>
              <a:cs typeface="Segoe UI Semibold" panose="020B0702040204020203" pitchFamily="34" charset="0"/>
            </a:rPr>
            <a:t> Stability Tracking</a:t>
          </a:r>
          <a:endParaRPr lang="en-US" sz="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399288</xdr:colOff>
      <xdr:row>9</xdr:row>
      <xdr:rowOff>88392</xdr:rowOff>
    </xdr:from>
    <xdr:to>
      <xdr:col>18</xdr:col>
      <xdr:colOff>262128</xdr:colOff>
      <xdr:row>10</xdr:row>
      <xdr:rowOff>152400</xdr:rowOff>
    </xdr:to>
    <xdr:sp macro="" textlink="">
      <xdr:nvSpPr>
        <xdr:cNvPr id="58" name="TextBox 36">
          <a:extLst>
            <a:ext uri="{FF2B5EF4-FFF2-40B4-BE49-F238E27FC236}">
              <a16:creationId xmlns:a16="http://schemas.microsoft.com/office/drawing/2014/main" id="{A8F18879-6E0B-36E8-7F86-4B74758F1905}"/>
            </a:ext>
          </a:extLst>
        </xdr:cNvPr>
        <xdr:cNvSpPr txBox="1"/>
      </xdr:nvSpPr>
      <xdr:spPr>
        <a:xfrm>
          <a:off x="9360408" y="1734312"/>
          <a:ext cx="2423160" cy="24688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solidFill>
                <a:schemeClr val="bg1"/>
              </a:solidFill>
              <a:latin typeface="Segoe UI Semibold" panose="020B0702040204020203" pitchFamily="34" charset="0"/>
              <a:cs typeface="Segoe UI Semibold" panose="020B0702040204020203" pitchFamily="34" charset="0"/>
            </a:rPr>
            <a:t>Unit</a:t>
          </a:r>
          <a:r>
            <a:rPr lang="en-US" sz="800" b="1" baseline="0">
              <a:solidFill>
                <a:schemeClr val="bg1"/>
              </a:solidFill>
              <a:latin typeface="Segoe UI Semibold" panose="020B0702040204020203" pitchFamily="34" charset="0"/>
              <a:cs typeface="Segoe UI Semibold" panose="020B0702040204020203" pitchFamily="34" charset="0"/>
            </a:rPr>
            <a:t> Distribution by Segment</a:t>
          </a:r>
          <a:endParaRPr lang="en-US" sz="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76200</xdr:colOff>
      <xdr:row>9</xdr:row>
      <xdr:rowOff>149352</xdr:rowOff>
    </xdr:from>
    <xdr:to>
      <xdr:col>23</xdr:col>
      <xdr:colOff>579120</xdr:colOff>
      <xdr:row>11</xdr:row>
      <xdr:rowOff>30480</xdr:rowOff>
    </xdr:to>
    <xdr:sp macro="" textlink="">
      <xdr:nvSpPr>
        <xdr:cNvPr id="59" name="TextBox 36">
          <a:extLst>
            <a:ext uri="{FF2B5EF4-FFF2-40B4-BE49-F238E27FC236}">
              <a16:creationId xmlns:a16="http://schemas.microsoft.com/office/drawing/2014/main" id="{68D8FA14-9950-A4AA-CB9B-67663BA233F8}"/>
            </a:ext>
          </a:extLst>
        </xdr:cNvPr>
        <xdr:cNvSpPr txBox="1"/>
      </xdr:nvSpPr>
      <xdr:spPr>
        <a:xfrm>
          <a:off x="12877800" y="1795272"/>
          <a:ext cx="2423160" cy="24688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106680</xdr:colOff>
      <xdr:row>10</xdr:row>
      <xdr:rowOff>6096</xdr:rowOff>
    </xdr:from>
    <xdr:to>
      <xdr:col>23</xdr:col>
      <xdr:colOff>609600</xdr:colOff>
      <xdr:row>11</xdr:row>
      <xdr:rowOff>70104</xdr:rowOff>
    </xdr:to>
    <xdr:sp macro="" textlink="">
      <xdr:nvSpPr>
        <xdr:cNvPr id="60" name="TextBox 36">
          <a:extLst>
            <a:ext uri="{FF2B5EF4-FFF2-40B4-BE49-F238E27FC236}">
              <a16:creationId xmlns:a16="http://schemas.microsoft.com/office/drawing/2014/main" id="{667244F4-8E22-6DAF-CB2D-5BA7F3720FD6}"/>
            </a:ext>
          </a:extLst>
        </xdr:cNvPr>
        <xdr:cNvSpPr txBox="1"/>
      </xdr:nvSpPr>
      <xdr:spPr>
        <a:xfrm>
          <a:off x="12908280" y="1834896"/>
          <a:ext cx="2423160" cy="24688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800" b="1">
              <a:solidFill>
                <a:schemeClr val="bg1"/>
              </a:solidFill>
              <a:latin typeface="Segoe UI Semibold" panose="020B0702040204020203" pitchFamily="34" charset="0"/>
              <a:cs typeface="Segoe UI Semibold" panose="020B0702040204020203" pitchFamily="34" charset="0"/>
            </a:rPr>
            <a:t>Net</a:t>
          </a:r>
          <a:r>
            <a:rPr lang="en-US" sz="800" b="1" baseline="0">
              <a:solidFill>
                <a:schemeClr val="bg1"/>
              </a:solidFill>
              <a:latin typeface="Segoe UI Semibold" panose="020B0702040204020203" pitchFamily="34" charset="0"/>
              <a:cs typeface="Segoe UI Semibold" panose="020B0702040204020203" pitchFamily="34" charset="0"/>
            </a:rPr>
            <a:t> Profit by Sector</a:t>
          </a:r>
          <a:endParaRPr lang="en-US" sz="800" b="1">
            <a:solidFill>
              <a:schemeClr val="bg1"/>
            </a:solidFill>
            <a:latin typeface="Segoe UI Semibold" panose="020B0702040204020203" pitchFamily="34" charset="0"/>
            <a:cs typeface="Segoe UI Semibold" panose="020B07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47453701" createdVersion="5" refreshedVersion="8" minRefreshableVersion="3" recordCount="0" supportSubquery="1" supportAdvancedDrill="1" xr:uid="{6753E67D-E1E3-4EBB-9CE2-6D1AC37F51D1}">
  <cacheSource type="external" connectionId="3"/>
  <cacheFields count="3">
    <cacheField name="[Measures].[Revenue]" caption="Revenue" numFmtId="0" hierarchy="11" level="32767"/>
    <cacheField name="[Measures].[PM Revenue]" caption="PM Revenue" numFmtId="0" hierarchy="15" level="32767"/>
    <cacheField name="[Measures].[Mom Revenue]" caption="Mom Revenue" numFmtId="0" hierarchy="16" level="32767"/>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oneField="1">
      <fieldsUsage count="1">
        <fieldUsage x="0"/>
      </fieldsUsage>
    </cacheHierarchy>
    <cacheHierarchy uniqueName="[Measures].[Total Profit]" caption="Total Profit" measure="1" displayFolder="" measureGroup="retail_sales" count="0"/>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oneField="1">
      <fieldsUsage count="1">
        <fieldUsage x="1"/>
      </fieldsUsage>
    </cacheHierarchy>
    <cacheHierarchy uniqueName="[Measures].[Mom Revenue]" caption="Mom Revenue" measure="1" displayFolder="" measureGroup="retail_sales" count="0" oneField="1">
      <fieldsUsage count="1">
        <fieldUsage x="2"/>
      </fieldsUsage>
    </cacheHierarchy>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4791667" createdVersion="5" refreshedVersion="8" minRefreshableVersion="3" recordCount="0" supportSubquery="1" supportAdvancedDrill="1" xr:uid="{39436C1C-74F3-4D2E-9827-860D5246BDEA}">
  <cacheSource type="external" connectionId="3"/>
  <cacheFields count="6">
    <cacheField name="[Measures].[Total Profit]" caption="Total Profit" numFmtId="0" hierarchy="12" level="32767"/>
    <cacheField name="[Measures].[Profit Margin]" caption="Profit Margin" numFmtId="0" hierarchy="14" level="32767"/>
    <cacheField name="[Measures].[MoM Qty]" caption="MoM Qty" numFmtId="0" hierarchy="20" level="32767"/>
    <cacheField name="[Measures].[MoM Profit]" caption="MoM Profit" numFmtId="0" hierarchy="19" level="32767"/>
    <cacheField name="[Measures].[Pm Qnty]" caption="Pm Qnty" numFmtId="0" hierarchy="18" level="32767"/>
    <cacheField name="[Measures].[PM Profit]" caption="PM Profit" numFmtId="0" hierarchy="17" level="32767"/>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cacheHierarchy uniqueName="[Measures].[Total Profit]" caption="Total Profit" measure="1" displayFolder="" measureGroup="retail_sales" count="0" oneField="1">
      <fieldsUsage count="1">
        <fieldUsage x="0"/>
      </fieldsUsage>
    </cacheHierarchy>
    <cacheHierarchy uniqueName="[Measures].[Total Quantity]" caption="Total Quantity" measure="1" displayFolder="" measureGroup="retail_sales" count="0"/>
    <cacheHierarchy uniqueName="[Measures].[Profit Margin]" caption="Profit Margin" measure="1" displayFolder="" measureGroup="retail_sales" count="0" oneField="1">
      <fieldsUsage count="1">
        <fieldUsage x="1"/>
      </fieldsUsage>
    </cacheHierarchy>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oneField="1">
      <fieldsUsage count="1">
        <fieldUsage x="5"/>
      </fieldsUsage>
    </cacheHierarchy>
    <cacheHierarchy uniqueName="[Measures].[Pm Qnty]" caption="Pm Qnty" measure="1" displayFolder="" measureGroup="retail_sales" count="0" oneField="1">
      <fieldsUsage count="1">
        <fieldUsage x="4"/>
      </fieldsUsage>
    </cacheHierarchy>
    <cacheHierarchy uniqueName="[Measures].[MoM Profit]" caption="MoM Profit" measure="1" displayFolder="" measureGroup="retail_sales" count="0" oneField="1">
      <fieldsUsage count="1">
        <fieldUsage x="3"/>
      </fieldsUsage>
    </cacheHierarchy>
    <cacheHierarchy uniqueName="[Measures].[MoM Qty]" caption="MoM Qty" measure="1" displayFolder="" measureGroup="retail_sales" count="0" oneField="1">
      <fieldsUsage count="1">
        <fieldUsage x="2"/>
      </fieldsUsage>
    </cacheHierarchy>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4849537" createdVersion="5" refreshedVersion="8" minRefreshableVersion="3" recordCount="0" supportSubquery="1" supportAdvancedDrill="1" xr:uid="{916E9F50-26A7-4508-89B5-89D4CC99734D}">
  <cacheSource type="external" connectionId="3"/>
  <cacheFields count="1">
    <cacheField name="[Measures].[Total Quantity]" caption="Total Quantity" numFmtId="0" hierarchy="13" level="32767"/>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cacheHierarchy uniqueName="[Measures].[Total Profit]" caption="Total Profit" measure="1" displayFolder="" measureGroup="retail_sales" count="0"/>
    <cacheHierarchy uniqueName="[Measures].[Total Quantity]" caption="Total Quantity" measure="1" displayFolder="" measureGroup="retail_sales" count="0" oneField="1">
      <fieldsUsage count="1">
        <fieldUsage x="0"/>
      </fieldsUsage>
    </cacheHierarchy>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49189817" createdVersion="5" refreshedVersion="8" minRefreshableVersion="3" recordCount="0" supportSubquery="1" supportAdvancedDrill="1" xr:uid="{E4A8796F-F436-485D-A987-A35E5221FEE8}">
  <cacheSource type="external" connectionId="3"/>
  <cacheFields count="2">
    <cacheField name="[Measures].[Revenue]" caption="Revenue" numFmtId="0" hierarchy="11" level="32767"/>
    <cacheField name="[Date].[Week of Month].[Week of Month]" caption="Week of Month" numFmtId="0" hierarchy="4" level="1">
      <sharedItems count="6">
        <s v="Wk1"/>
        <s v="Wk2"/>
        <s v="Wk3"/>
        <s v="Wk4"/>
        <s v="Wk5"/>
        <s v="Wk6"/>
      </sharedItems>
    </cacheField>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2" memberValueDatatype="130" unbalanced="0">
      <fieldsUsage count="2">
        <fieldUsage x="-1"/>
        <fieldUsage x="1"/>
      </fieldsUsage>
    </cacheHierarchy>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oneField="1">
      <fieldsUsage count="1">
        <fieldUsage x="0"/>
      </fieldsUsage>
    </cacheHierarchy>
    <cacheHierarchy uniqueName="[Measures].[Total Profit]" caption="Total Profit" measure="1" displayFolder="" measureGroup="retail_sales" count="0"/>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49884256" createdVersion="5" refreshedVersion="8" minRefreshableVersion="3" recordCount="0" supportSubquery="1" supportAdvancedDrill="1" xr:uid="{43E4BD49-8493-4AC4-AFD0-4802BFD45DC8}">
  <cacheSource type="external" connectionId="3"/>
  <cacheFields count="2">
    <cacheField name="[Measures].[Revenue]" caption="Revenue" numFmtId="0" hierarchy="11" level="32767"/>
    <cacheField name="[retail_sales].[Category].[Category]" caption="Category" numFmtId="0" hierarchy="6" level="1">
      <sharedItems count="4">
        <s v="Books"/>
        <s v="Clothing"/>
        <s v="Electronics"/>
        <s v="Home Goods"/>
      </sharedItems>
    </cacheField>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2" memberValueDatatype="130" unbalanced="0">
      <fieldsUsage count="2">
        <fieldUsage x="-1"/>
        <fieldUsage x="1"/>
      </fieldsUsage>
    </cacheHierarchy>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oneField="1">
      <fieldsUsage count="1">
        <fieldUsage x="0"/>
      </fieldsUsage>
    </cacheHierarchy>
    <cacheHierarchy uniqueName="[Measures].[Total Profit]" caption="Total Profit" measure="1" displayFolder="" measureGroup="retail_sales" count="0"/>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50578702" createdVersion="5" refreshedVersion="8" minRefreshableVersion="3" recordCount="0" supportSubquery="1" supportAdvancedDrill="1" xr:uid="{F2D7FEDA-28E4-4F3F-8D33-BCE2BEAEA61B}">
  <cacheSource type="external" connectionId="3"/>
  <cacheFields count="2">
    <cacheField name="[Measures].[Revenue]" caption="Revenue" numFmtId="0" hierarchy="11" level="32767"/>
    <cacheField name="[retail_sales].[Region].[Region]" caption="Region" numFmtId="0" hierarchy="10" level="1">
      <sharedItems count="5">
        <s v="East"/>
        <s v="North"/>
        <s v="Not available"/>
        <s v="South"/>
        <s v="West"/>
      </sharedItems>
    </cacheField>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fieldsUsage count="2">
        <fieldUsage x="-1"/>
        <fieldUsage x="1"/>
      </fieldsUsage>
    </cacheHierarchy>
    <cacheHierarchy uniqueName="[Measures].[Revenue]" caption="Revenue" measure="1" displayFolder="" measureGroup="retail_sales" count="0" oneField="1">
      <fieldsUsage count="1">
        <fieldUsage x="0"/>
      </fieldsUsage>
    </cacheHierarchy>
    <cacheHierarchy uniqueName="[Measures].[Total Profit]" caption="Total Profit" measure="1" displayFolder="" measureGroup="retail_sales" count="0"/>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51388888" createdVersion="5" refreshedVersion="8" minRefreshableVersion="3" recordCount="0" supportSubquery="1" supportAdvancedDrill="1" xr:uid="{2801620E-6517-468F-B6B1-A03E980889AA}">
  <cacheSource type="external" connectionId="3"/>
  <cacheFields count="2">
    <cacheField name="[Date].[Week of Month].[Week of Month]" caption="Week of Month" numFmtId="0" hierarchy="4" level="1">
      <sharedItems count="6">
        <s v="Wk1"/>
        <s v="Wk2"/>
        <s v="Wk3"/>
        <s v="Wk4"/>
        <s v="Wk5"/>
        <s v="Wk6"/>
      </sharedItems>
    </cacheField>
    <cacheField name="[Measures].[Total Quantity]" caption="Total Quantity" numFmtId="0" hierarchy="13" level="32767"/>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2" memberValueDatatype="130" unbalanced="0">
      <fieldsUsage count="2">
        <fieldUsage x="-1"/>
        <fieldUsage x="0"/>
      </fieldsUsage>
    </cacheHierarchy>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cacheHierarchy uniqueName="[Measures].[Total Profit]" caption="Total Profit" measure="1" displayFolder="" measureGroup="retail_sales" count="0"/>
    <cacheHierarchy uniqueName="[Measures].[Total Quantity]" caption="Total Quantity" measure="1" displayFolder="" measureGroup="retail_sales" count="0" oneField="1">
      <fieldsUsage count="1">
        <fieldUsage x="1"/>
      </fieldsUsage>
    </cacheHierarchy>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52083334" createdVersion="5" refreshedVersion="8" minRefreshableVersion="3" recordCount="0" supportSubquery="1" supportAdvancedDrill="1" xr:uid="{8FC2335D-DE71-4D4F-B31B-3E8266B9CB0A}">
  <cacheSource type="external" connectionId="3"/>
  <cacheFields count="2">
    <cacheField name="[Date].[Week of Month].[Week of Month]" caption="Week of Month" numFmtId="0" hierarchy="4" level="1">
      <sharedItems count="6">
        <s v="Wk1"/>
        <s v="Wk2"/>
        <s v="Wk3"/>
        <s v="Wk4"/>
        <s v="Wk5"/>
        <s v="Wk6"/>
      </sharedItems>
    </cacheField>
    <cacheField name="[Measures].[Total Profit]" caption="Total Profit" numFmtId="0" hierarchy="12" level="32767"/>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2" memberValueDatatype="130" unbalanced="0">
      <fieldsUsage count="2">
        <fieldUsage x="-1"/>
        <fieldUsage x="0"/>
      </fieldsUsage>
    </cacheHierarchy>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cacheHierarchy uniqueName="[Measures].[Total Profit]" caption="Total Profit" measure="1" displayFolder="" measureGroup="retail_sales" count="0" oneField="1">
      <fieldsUsage count="1">
        <fieldUsage x="1"/>
      </fieldsUsage>
    </cacheHierarchy>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5347222" createdVersion="5" refreshedVersion="8" minRefreshableVersion="3" recordCount="0" supportSubquery="1" supportAdvancedDrill="1" xr:uid="{95C9363E-C29B-4084-A481-7CB0BBDA1763}">
  <cacheSource type="external" connectionId="3"/>
  <cacheFields count="2">
    <cacheField name="[retail_sales].[Category].[Category]" caption="Category" numFmtId="0" hierarchy="6" level="1">
      <sharedItems count="4">
        <s v="Books"/>
        <s v="Clothing"/>
        <s v="Electronics"/>
        <s v="Home Goods"/>
      </sharedItems>
    </cacheField>
    <cacheField name="[Measures].[Total Quantity]" caption="Total Quantity" numFmtId="0" hierarchy="13" level="32767"/>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2" memberValueDatatype="130" unbalanced="0">
      <fieldsUsage count="2">
        <fieldUsage x="-1"/>
        <fieldUsage x="0"/>
      </fieldsUsage>
    </cacheHierarchy>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cacheHierarchy uniqueName="[Measures].[Total Profit]" caption="Total Profit" measure="1" displayFolder="" measureGroup="retail_sales" count="0"/>
    <cacheHierarchy uniqueName="[Measures].[Total Quantity]" caption="Total Quantity" measure="1" displayFolder="" measureGroup="retail_sales" count="0" oneField="1">
      <fieldsUsage count="1">
        <fieldUsage x="1"/>
      </fieldsUsage>
    </cacheHierarchy>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9.406754282405" createdVersion="5" refreshedVersion="8" minRefreshableVersion="3" recordCount="0" supportSubquery="1" supportAdvancedDrill="1" xr:uid="{BCAEEF38-4029-4B3D-B1A8-B12760260453}">
  <cacheSource type="external" connectionId="3"/>
  <cacheFields count="2">
    <cacheField name="[retail_sales].[Category].[Category]" caption="Category" numFmtId="0" hierarchy="6" level="1">
      <sharedItems count="4">
        <s v="Books"/>
        <s v="Clothing"/>
        <s v="Electronics"/>
        <s v="Sports"/>
      </sharedItems>
    </cacheField>
    <cacheField name="[Measures].[Total Profit]" caption="Total Profit" numFmtId="0" hierarchy="12" level="32767"/>
  </cacheFields>
  <cacheHierarchies count="28">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2" memberValueDatatype="130" unbalanced="0">
      <fieldsUsage count="2">
        <fieldUsage x="-1"/>
        <fieldUsage x="0"/>
      </fieldsUsage>
    </cacheHierarchy>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Revenue]" caption="Revenue" measure="1" displayFolder="" measureGroup="retail_sales" count="0"/>
    <cacheHierarchy uniqueName="[Measures].[Total Profit]" caption="Total Profit" measure="1" displayFolder="" measureGroup="retail_sales" count="0" oneField="1">
      <fieldsUsage count="1">
        <fieldUsage x="1"/>
      </fieldsUsage>
    </cacheHierarchy>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es]" caption="Sum of Sales" measure="1" displayFolder="" measureGroup="retail_sales" count="0" hidden="1">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etail_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retail_sales" count="0" hidden="1">
      <extLst>
        <ext xmlns:x15="http://schemas.microsoft.com/office/spreadsheetml/2010/11/main" uri="{B97F6D7D-B522-45F9-BDA1-12C45D357490}">
          <x15:cacheHierarchy aggregatedColumn="9"/>
        </ext>
      </extLst>
    </cacheHierarchy>
  </cacheHierarchies>
  <kpis count="0"/>
  <dimensions count="3">
    <dimension name="Date" uniqueName="[Date]" caption="Date"/>
    <dimension measure="1" name="Measures" uniqueName="[Measures]" caption="Measures"/>
    <dimension name="retail_sales" uniqueName="[retail_sales]" caption="retail_sales"/>
  </dimensions>
  <measureGroups count="2">
    <measureGroup name="Date" caption="Date"/>
    <measureGroup name="retail_sales" caption="retail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8.971593518516" createdVersion="3" refreshedVersion="8" minRefreshableVersion="3" recordCount="0" supportSubquery="1" supportAdvancedDrill="1" xr:uid="{57AFDB26-B846-42E5-B212-B30689638EF9}">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2" memberValueDatatype="130" unbalanced="0"/>
    <cacheHierarchy uniqueName="[Measures].[Sum of Sales]" caption="Sum of Sales" measure="1" displayFolder="" measureGroup="retail_sales" count="0">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2"/>
        </ext>
      </extLst>
    </cacheHierarchy>
    <cacheHierarchy uniqueName="[Measures].[Revenue]" caption="Revenue" measure="1" displayFolder="" measureGroup="retail_sales" count="0"/>
    <cacheHierarchy uniqueName="[Measures].[Total Profit]" caption="Total Profit" measure="1" displayFolder="" measureGroup="retail_sales" count="0"/>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659599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HIOLE" refreshedDate="46148.744847916663" createdVersion="3" refreshedVersion="8" minRefreshableVersion="3" recordCount="0" supportSubquery="1" supportAdvancedDrill="1" xr:uid="{1CFCC9D1-B67D-43B9-B1D5-1F5D5B418604}">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Month]" caption="Month" attribute="1" defaultMemberUniqueName="[Date].[Month].[All]" allUniqueName="[Date].[Month].[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Week of Month]" caption="Week of Month" attribute="1" defaultMemberUniqueName="[Date].[Week of Month].[All]" allUniqueName="[Date].[Week of Month].[All]" dimensionUniqueName="[Date]" displayFolder="" count="0" memberValueDatatype="130" unbalanced="0"/>
    <cacheHierarchy uniqueName="[retail_sales].[Date]" caption="Date" attribute="1" time="1" defaultMemberUniqueName="[retail_sales].[Date].[All]" allUniqueName="[retail_sales].[Date].[All]" dimensionUniqueName="[retail_sales]" displayFolder="" count="0" memberValueDatatype="7" unbalanced="0"/>
    <cacheHierarchy uniqueName="[retail_sales].[Category]" caption="Category" attribute="1" defaultMemberUniqueName="[retail_sales].[Category].[All]" allUniqueName="[retail_sales].[Category].[All]" dimensionUniqueName="[retail_sales]" displayFolder="" count="0" memberValueDatatype="130" unbalanced="0"/>
    <cacheHierarchy uniqueName="[retail_sales].[Sales]" caption="Sales" attribute="1" defaultMemberUniqueName="[retail_sales].[Sales].[All]" allUniqueName="[retail_sales].[Sales].[All]" dimensionUniqueName="[retail_sales]" displayFolder="" count="0" memberValueDatatype="5" unbalanced="0"/>
    <cacheHierarchy uniqueName="[retail_sales].[Quantity]" caption="Quantity" attribute="1" defaultMemberUniqueName="[retail_sales].[Quantity].[All]" allUniqueName="[retail_sales].[Quantity].[All]" dimensionUniqueName="[retail_sales]" displayFolder="" count="0" memberValueDatatype="5" unbalanced="0"/>
    <cacheHierarchy uniqueName="[retail_sales].[Profit]" caption="Profit" attribute="1" defaultMemberUniqueName="[retail_sales].[Profit].[All]" allUniqueName="[retail_sales].[Profit].[All]" dimensionUniqueName="[retail_sales]" displayFolder="" count="0" memberValueDatatype="5" unbalanced="0"/>
    <cacheHierarchy uniqueName="[retail_sales].[Region]" caption="Region" attribute="1" defaultMemberUniqueName="[retail_sales].[Region].[All]" allUniqueName="[retail_sales].[Region].[All]" dimensionUniqueName="[retail_sales]" displayFolder="" count="0" memberValueDatatype="130" unbalanced="0"/>
    <cacheHierarchy uniqueName="[Measures].[Sum of Sales]" caption="Sum of Sales" measure="1" displayFolder="" measureGroup="retail_sales" count="0">
      <extLst>
        <ext xmlns:x15="http://schemas.microsoft.com/office/spreadsheetml/2010/11/main" uri="{B97F6D7D-B522-45F9-BDA1-12C45D357490}">
          <x15:cacheHierarchy aggregatedColumn="7"/>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2"/>
        </ext>
      </extLst>
    </cacheHierarchy>
    <cacheHierarchy uniqueName="[Measures].[Revenue]" caption="Revenue" measure="1" displayFolder="" measureGroup="retail_sales" count="0"/>
    <cacheHierarchy uniqueName="[Measures].[Total Profit]" caption="Total Profit" measure="1" displayFolder="" measureGroup="retail_sales" count="0"/>
    <cacheHierarchy uniqueName="[Measures].[Total Quantity]" caption="Total Quantity" measure="1" displayFolder="" measureGroup="retail_sales" count="0"/>
    <cacheHierarchy uniqueName="[Measures].[Profit Margin]" caption="Profit Margin" measure="1" displayFolder="" measureGroup="retail_sales" count="0"/>
    <cacheHierarchy uniqueName="[Measures].[PM Revenue]" caption="PM Revenue" measure="1" displayFolder="" measureGroup="retail_sales" count="0"/>
    <cacheHierarchy uniqueName="[Measures].[Mom Revenue]" caption="Mom Revenue" measure="1" displayFolder="" measureGroup="retail_sales" count="0"/>
    <cacheHierarchy uniqueName="[Measures].[PM Profit]" caption="PM Profit" measure="1" displayFolder="" measureGroup="retail_sales" count="0"/>
    <cacheHierarchy uniqueName="[Measures].[Pm Qnty]" caption="Pm Qnty" measure="1" displayFolder="" measureGroup="retail_sales" count="0"/>
    <cacheHierarchy uniqueName="[Measures].[MoM Profit]" caption="MoM Profit" measure="1" displayFolder="" measureGroup="retail_sales" count="0"/>
    <cacheHierarchy uniqueName="[Measures].[MoM Qty]" caption="MoM Qty" measure="1" displayFolder="" measureGroup="retail_sales" count="0"/>
    <cacheHierarchy uniqueName="[Measures].[__XL_Count retail_sales]" caption="__XL_Count retail_sales" measure="1" displayFolder="" measureGroup="retail_sale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791549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570C49-E69C-4F37-96E1-418EEC88FE4D}" name="PivotTable4" cacheId="383" applyNumberFormats="0" applyBorderFormats="0" applyFontFormats="0" applyPatternFormats="0" applyAlignmentFormats="0" applyWidthHeightFormats="1" dataCaption="Values" tag="e009f429-1cba-40c7-8f8f-a12f3e94d0d4" updatedVersion="8" minRefreshableVersion="5" useAutoFormatting="1" subtotalHiddenItems="1" itemPrintTitles="1" createdVersion="5" indent="0" outline="1" outlineData="1" multipleFieldFilters="0" chartFormat="3">
  <location ref="B11:C18"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numFmtId="165"/>
  </dataFields>
  <formats count="1">
    <format dxfId="10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7B886A-DC75-44D3-ADBB-0BB910DD9374}" name="PivotTable8" cacheId="395" applyNumberFormats="0" applyBorderFormats="0" applyFontFormats="0" applyPatternFormats="0" applyAlignmentFormats="0" applyWidthHeightFormats="1" dataCaption="Values" tag="ea85ae04-b4a3-4855-ab77-8ee659ce20ed" updatedVersion="8" minRefreshableVersion="5" useAutoFormatting="1" subtotalHiddenItems="1" itemPrintTitles="1" createdVersion="5" indent="0" outline="1" outlineData="1" multipleFieldFilters="0" chartFormat="8">
  <location ref="E21:F2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2">
    <format dxfId="110">
      <pivotArea outline="0" collapsedLevelsAreSubtotals="1" fieldPosition="0"/>
    </format>
    <format dxfId="109">
      <pivotArea collapsedLevelsAreSubtotals="1" fieldPosition="0">
        <references count="1">
          <reference field="0" count="1">
            <x v="0"/>
          </reference>
        </references>
      </pivotArea>
    </format>
  </formats>
  <chartFormats count="1">
    <chartFormat chart="7"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66DFAF-5D5D-4191-A430-8BC85DD6E47F}" name="PivotTable3" cacheId="380" applyNumberFormats="0" applyBorderFormats="0" applyFontFormats="0" applyPatternFormats="0" applyAlignmentFormats="0" applyWidthHeightFormats="1" dataCaption="Values" tag="be7839d9-0b17-4896-b4c2-6a545a56c669" updatedVersion="8" minRefreshableVersion="5" useAutoFormatting="1" subtotalHiddenItems="1" itemPrintTitles="1" createdVersion="5"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numFmtId="167"/>
  </dataFields>
  <formats count="1">
    <format dxfId="111">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729B9F-342A-4281-A67E-2D0792C03439}" name="PivotTable2" cacheId="377" applyNumberFormats="0" applyBorderFormats="0" applyFontFormats="0" applyPatternFormats="0" applyAlignmentFormats="0" applyWidthHeightFormats="1" dataCaption="Values" tag="93931deb-41d2-41ad-aef7-69f1d805c13f" updatedVersion="8" minRefreshableVersion="5" useAutoFormatting="1" subtotalHiddenItems="1" itemPrintTitles="1" createdVersion="5" indent="0" outline="1" outlineData="1" multipleFieldFilters="0">
  <location ref="B8:G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65"/>
    <dataField fld="1" subtotal="count" baseField="0" baseItem="0" numFmtId="164"/>
    <dataField fld="2" subtotal="count" baseField="0" baseItem="0" numFmtId="166"/>
    <dataField fld="3" subtotal="count" baseField="0" baseItem="0" numFmtId="166"/>
    <dataField fld="4" subtotal="count" baseField="0" baseItem="0" numFmtId="167"/>
    <dataField fld="5" subtotal="count" baseField="0" baseItem="0" numFmtId="165"/>
  </dataFields>
  <formats count="7">
    <format dxfId="118">
      <pivotArea outline="0" collapsedLevelsAreSubtotals="1" fieldPosition="0"/>
    </format>
    <format dxfId="117">
      <pivotArea outline="0" collapsedLevelsAreSubtotals="1" fieldPosition="0">
        <references count="1">
          <reference field="4294967294" count="1" selected="0">
            <x v="1"/>
          </reference>
        </references>
      </pivotArea>
    </format>
    <format dxfId="116">
      <pivotArea outline="0" collapsedLevelsAreSubtotals="1" fieldPosition="0">
        <references count="1">
          <reference field="4294967294" count="1" selected="0">
            <x v="5"/>
          </reference>
        </references>
      </pivotArea>
    </format>
    <format dxfId="115">
      <pivotArea outline="0" collapsedLevelsAreSubtotals="1" fieldPosition="0">
        <references count="1">
          <reference field="4294967294" count="1" selected="0">
            <x v="4"/>
          </reference>
        </references>
      </pivotArea>
    </format>
    <format dxfId="114">
      <pivotArea outline="0" collapsedLevelsAreSubtotals="1" fieldPosition="0">
        <references count="1">
          <reference field="4294967294" count="1" selected="0">
            <x v="3"/>
          </reference>
        </references>
      </pivotArea>
    </format>
    <format dxfId="113">
      <pivotArea outline="0" collapsedLevelsAreSubtotals="1" fieldPosition="0">
        <references count="1">
          <reference field="4294967294" count="1" selected="0">
            <x v="2"/>
          </reference>
        </references>
      </pivotArea>
    </format>
    <format dxfId="112">
      <pivotArea outline="0" collapsedLevelsAreSubtotals="1" fieldPosition="0">
        <references count="1">
          <reference field="4294967294" count="1" selected="0">
            <x v="0"/>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23B20-1DF7-42CB-94C5-ACCF94C2F60E}" name="PivotTable7" cacheId="392" applyNumberFormats="0" applyBorderFormats="0" applyFontFormats="0" applyPatternFormats="0" applyAlignmentFormats="0" applyWidthHeightFormats="1" dataCaption="Values" tag="8f7b1f40-ca8e-4999-b933-a9a83fbd98c0" updatedVersion="8" minRefreshableVersion="5" useAutoFormatting="1" subtotalHiddenItems="1" itemPrintTitles="1" createdVersion="5" indent="0" outline="1" outlineData="1" multipleFieldFilters="0" chartFormat="12">
  <location ref="B21:C2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numFmtId="169"/>
  </dataFields>
  <formats count="1">
    <format dxfId="11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62CE75-ABF0-4993-A0CC-28DA4A980F82}" name="PivotTable1" cacheId="374" applyNumberFormats="0" applyBorderFormats="0" applyFontFormats="0" applyPatternFormats="0" applyAlignmentFormats="0" applyWidthHeightFormats="1" dataCaption="Values" tag="56e95961-e7ce-454f-a0da-9cb932b8969d" updatedVersion="8" minRefreshableVersion="5" useAutoFormatting="1" subtotalHiddenItems="1" itemPrintTitles="1" createdVersion="5" indent="0" outline="1" outlineData="1" multipleFieldFilters="0">
  <location ref="B3:D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numFmtId="165"/>
    <dataField fld="1" subtotal="count" baseField="0" baseItem="0" numFmtId="165"/>
    <dataField fld="2" subtotal="count" baseField="0" baseItem="0" numFmtId="166"/>
  </dataFields>
  <formats count="3">
    <format dxfId="122">
      <pivotArea outline="0" collapsedLevelsAreSubtotals="1" fieldPosition="0"/>
    </format>
    <format dxfId="121">
      <pivotArea outline="0" collapsedLevelsAreSubtotals="1" fieldPosition="0">
        <references count="1">
          <reference field="4294967294" count="2" selected="0">
            <x v="0"/>
            <x v="1"/>
          </reference>
        </references>
      </pivotArea>
    </format>
    <format dxfId="120">
      <pivotArea outline="0" collapsedLevelsAreSubtotals="1" fieldPosition="0">
        <references count="1">
          <reference field="4294967294" count="1" selected="0">
            <x v="2"/>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1DD95B-AE08-4AE3-A865-C5D91CD53831}" name="PivotTable6" cacheId="389" applyNumberFormats="0" applyBorderFormats="0" applyFontFormats="0" applyPatternFormats="0" applyAlignmentFormats="0" applyWidthHeightFormats="1" dataCaption="Values" tag="253c1719-1675-4676-9e7a-eb4222fd5cae" updatedVersion="8" minRefreshableVersion="5" useAutoFormatting="1" subtotalHiddenItems="1" itemPrintTitles="1" createdVersion="5" indent="0" outline="1" outlineData="1" multipleFieldFilters="0">
  <location ref="H11:I1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numFmtId="165"/>
  </dataFields>
  <formats count="1">
    <format dxfId="123">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821D2D-F2AC-419C-8B45-B3AFE7E3C3FF}" name="PivotTable5" cacheId="386" applyNumberFormats="0" applyBorderFormats="0" applyFontFormats="0" applyPatternFormats="0" applyAlignmentFormats="0" applyWidthHeightFormats="1" dataCaption="Values" tag="548b7281-2e8f-4755-85b9-623302138360" updatedVersion="8" minRefreshableVersion="5" useAutoFormatting="1" subtotalHiddenItems="1" itemPrintTitles="1" createdVersion="5" indent="0" outline="1" outlineData="1" multipleFieldFilters="0" chartFormat="5">
  <location ref="E11:F16" firstHeaderRow="1" firstDataRow="1" firstDataCol="1"/>
  <pivotFields count="2">
    <pivotField dataField="1" subtotalTop="0" showAll="0" defaultSubtotal="0"/>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1"/>
    </i>
    <i>
      <x v="2"/>
    </i>
    <i>
      <x/>
    </i>
    <i t="grand">
      <x/>
    </i>
  </rowItems>
  <colItems count="1">
    <i/>
  </colItems>
  <dataFields count="1">
    <dataField fld="0" subtotal="count" baseField="0" baseItem="0" numFmtId="168"/>
  </dataFields>
  <formats count="1">
    <format dxfId="12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2" iMeasureHier="11">
      <autoFilter ref="A1">
        <filterColumn colId="0">
          <top10 val="4" filterVal="4"/>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654197-0DBF-4A09-9CB6-8BAE04B8CDA8}" name="PivotTable10" cacheId="401" applyNumberFormats="0" applyBorderFormats="0" applyFontFormats="0" applyPatternFormats="0" applyAlignmentFormats="0" applyWidthHeightFormats="1" dataCaption="Values" tag="8a4abbbb-5570-433e-ab44-24844684b7df" updatedVersion="8" minRefreshableVersion="5" useAutoFormatting="1" subtotalHiddenItems="1" itemPrintTitles="1" createdVersion="5" indent="0" outline="1" outlineData="1" multipleFieldFilters="0" chartFormat="3">
  <location ref="K21:L26" firstHeaderRow="1" firstDataRow="1" firstDataCol="1"/>
  <pivotFields count="2">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2"/>
    </i>
    <i>
      <x v="3"/>
    </i>
    <i>
      <x/>
    </i>
    <i t="grand">
      <x/>
    </i>
  </rowItems>
  <colItems count="1">
    <i/>
  </colItems>
  <dataFields count="1">
    <dataField fld="1" subtotal="count" baseField="0" baseItem="0" numFmtId="168"/>
  </dataFields>
  <formats count="2">
    <format dxfId="126">
      <pivotArea collapsedLevelsAreSubtotals="1" fieldPosition="0">
        <references count="1">
          <reference field="0" count="1">
            <x v="0"/>
          </reference>
        </references>
      </pivotArea>
    </format>
    <format dxfId="1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2" iMeasureHier="12">
      <autoFilter ref="A1">
        <filterColumn colId="0">
          <top10 val="4" filterVal="4"/>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1AE194-C607-44B4-8F46-7D22E8FC2D10}" name="PivotTable9" cacheId="398" applyNumberFormats="0" applyBorderFormats="0" applyFontFormats="0" applyPatternFormats="0" applyAlignmentFormats="0" applyWidthHeightFormats="1" dataCaption="Values" tag="f9a2ba78-3b8a-437f-ae57-02b02acd8cdd" updatedVersion="8" minRefreshableVersion="5" useAutoFormatting="1" subtotalHiddenItems="1" itemPrintTitles="1" createdVersion="5" indent="0" outline="1" outlineData="1" multipleFieldFilters="0" chartFormat="3">
  <location ref="H21:I26" firstHeaderRow="1" firstDataRow="1" firstDataCol="1"/>
  <pivotFields count="2">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1"/>
    </i>
    <i>
      <x/>
    </i>
    <i>
      <x v="3"/>
    </i>
    <i t="grand">
      <x/>
    </i>
  </rowItems>
  <colItems count="1">
    <i/>
  </colItems>
  <dataFields count="1">
    <dataField fld="1" subtotal="count" baseField="0" baseItem="0" numFmtId="169"/>
  </dataFields>
  <formats count="2">
    <format dxfId="128">
      <pivotArea collapsedLevelsAreSubtotals="1" fieldPosition="0">
        <references count="1">
          <reference field="0" count="0"/>
        </references>
      </pivotArea>
    </format>
    <format dxfId="1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2" iMeasureHier="13">
      <autoFilter ref="A1">
        <filterColumn colId="0">
          <top10 val="4" filterVal="4"/>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93D2B9-8320-45A6-94B9-4368D4E3CECC}" sourceName="[retail_sales].[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olap pivotCacheId="2076595996">
      <levels count="2">
        <level uniqueName="[retail_sales].[Region].[(All)]" sourceCaption="(All)" count="0"/>
        <level uniqueName="[retail_sales].[Region].[Region]" sourceCaption="Region" count="5">
          <ranges>
            <range startItem="0">
              <i n="[retail_sales].[Region].&amp;[East]" c="East"/>
              <i n="[retail_sales].[Region].&amp;[North]" c="North"/>
              <i n="[retail_sales].[Region].&amp;[Not available]" c="Not available"/>
              <i n="[retail_sales].[Region].&amp;[South]" c="South"/>
              <i n="[retail_sales].[Region].&amp;[West]" c="West"/>
            </range>
          </ranges>
        </level>
      </levels>
      <selections count="1">
        <selection n="[retail_sal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781054-39ED-496F-819B-017AB13E2B95}" cache="Slicer_Region" caption="Region" level="1" style="Slicer Style 1" rowHeight="2385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E6178A1-8DE9-4AE5-A598-E50E4D747625}" sourceName="[Date].[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state minimalRefreshVersion="6" lastRefreshVersion="6" pivotCacheId="157915499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B3DF393-9669-40FB-9FB1-09912B32CA11}" cache="Timeline_Date" caption="Date" level="2" selectionLevel="2" scrollPosition="2023-04-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3030F-9E24-4C2D-ACC0-76DD0097082E}">
  <dimension ref="B3:L28"/>
  <sheetViews>
    <sheetView zoomScale="80" zoomScaleNormal="80" workbookViewId="0">
      <selection activeCell="F24" sqref="F24"/>
    </sheetView>
  </sheetViews>
  <sheetFormatPr defaultRowHeight="14.4" x14ac:dyDescent="0.3"/>
  <cols>
    <col min="2" max="2" width="12.09765625" bestFit="1" customWidth="1"/>
    <col min="3" max="3" width="12.296875" bestFit="1" customWidth="1"/>
    <col min="4" max="4" width="8.59765625" bestFit="1" customWidth="1"/>
    <col min="5" max="6" width="12.09765625" bestFit="1" customWidth="1"/>
    <col min="7" max="7" width="8.5" bestFit="1" customWidth="1"/>
    <col min="8" max="8" width="12.09765625" bestFit="1" customWidth="1"/>
    <col min="9" max="10" width="12.296875" bestFit="1" customWidth="1"/>
    <col min="11" max="11" width="12.09765625" bestFit="1" customWidth="1"/>
    <col min="12" max="12" width="9.796875" bestFit="1" customWidth="1"/>
  </cols>
  <sheetData>
    <row r="3" spans="2:9" x14ac:dyDescent="0.3">
      <c r="B3" t="s">
        <v>0</v>
      </c>
      <c r="C3" t="s">
        <v>12</v>
      </c>
      <c r="D3" t="s">
        <v>15</v>
      </c>
      <c r="E3" t="s">
        <v>2</v>
      </c>
    </row>
    <row r="4" spans="2:9" x14ac:dyDescent="0.3">
      <c r="B4" s="4">
        <v>1787419.9204409744</v>
      </c>
      <c r="C4" s="4">
        <v>1627441.1132488551</v>
      </c>
      <c r="D4" s="5">
        <v>9.8300826917635309E-2</v>
      </c>
      <c r="E4" s="6">
        <v>18298</v>
      </c>
    </row>
    <row r="8" spans="2:9" x14ac:dyDescent="0.3">
      <c r="B8" t="s">
        <v>1</v>
      </c>
      <c r="C8" t="s">
        <v>11</v>
      </c>
      <c r="D8" t="s">
        <v>16</v>
      </c>
      <c r="E8" t="s">
        <v>17</v>
      </c>
      <c r="F8" t="s">
        <v>18</v>
      </c>
      <c r="G8" t="s">
        <v>19</v>
      </c>
    </row>
    <row r="9" spans="2:9" x14ac:dyDescent="0.3">
      <c r="B9" s="4">
        <v>453870.43718492665</v>
      </c>
      <c r="C9" s="2">
        <v>0.25392490706546017</v>
      </c>
      <c r="D9" s="5">
        <v>9.4247099629231057E-2</v>
      </c>
      <c r="E9" s="5">
        <v>9.324348674403149E-2</v>
      </c>
      <c r="F9" s="6">
        <v>16722</v>
      </c>
      <c r="G9" s="4">
        <v>415159.51632757764</v>
      </c>
    </row>
    <row r="10" spans="2:9" x14ac:dyDescent="0.3">
      <c r="B10" s="10" t="s">
        <v>26</v>
      </c>
      <c r="C10" s="10"/>
      <c r="E10" s="10" t="s">
        <v>27</v>
      </c>
      <c r="F10" s="10"/>
      <c r="H10" s="10" t="s">
        <v>28</v>
      </c>
      <c r="I10" s="10"/>
    </row>
    <row r="11" spans="2:9" x14ac:dyDescent="0.3">
      <c r="B11" s="1" t="s">
        <v>13</v>
      </c>
      <c r="C11" t="s">
        <v>0</v>
      </c>
      <c r="E11" s="1" t="s">
        <v>13</v>
      </c>
      <c r="F11" t="s">
        <v>0</v>
      </c>
      <c r="H11" s="1" t="s">
        <v>13</v>
      </c>
      <c r="I11" t="s">
        <v>0</v>
      </c>
    </row>
    <row r="12" spans="2:9" x14ac:dyDescent="0.3">
      <c r="B12" s="3" t="s">
        <v>20</v>
      </c>
      <c r="C12" s="4">
        <v>224367.73170091602</v>
      </c>
      <c r="E12" s="3" t="s">
        <v>7</v>
      </c>
      <c r="F12" s="8">
        <v>347493.8270875024</v>
      </c>
      <c r="H12" s="3" t="s">
        <v>29</v>
      </c>
      <c r="I12" s="4">
        <v>393441.6145087757</v>
      </c>
    </row>
    <row r="13" spans="2:9" x14ac:dyDescent="0.3">
      <c r="B13" s="3" t="s">
        <v>21</v>
      </c>
      <c r="C13" s="4">
        <v>411929.29351139866</v>
      </c>
      <c r="E13" s="3" t="s">
        <v>3</v>
      </c>
      <c r="F13" s="8">
        <v>350981.82277266087</v>
      </c>
      <c r="H13" s="3" t="s">
        <v>10</v>
      </c>
      <c r="I13" s="4">
        <v>448295.03292982321</v>
      </c>
    </row>
    <row r="14" spans="2:9" x14ac:dyDescent="0.3">
      <c r="B14" s="3" t="s">
        <v>22</v>
      </c>
      <c r="C14" s="4">
        <v>416707.72742413759</v>
      </c>
      <c r="E14" s="3" t="s">
        <v>6</v>
      </c>
      <c r="F14" s="8">
        <v>364090.40628827905</v>
      </c>
      <c r="H14" s="3" t="s">
        <v>30</v>
      </c>
      <c r="I14" s="4">
        <v>5697.6225911698339</v>
      </c>
    </row>
    <row r="15" spans="2:9" x14ac:dyDescent="0.3">
      <c r="B15" s="3" t="s">
        <v>23</v>
      </c>
      <c r="C15" s="4">
        <v>412202.10591090115</v>
      </c>
      <c r="E15" s="3" t="s">
        <v>5</v>
      </c>
      <c r="F15" s="8">
        <v>370971.87255793798</v>
      </c>
      <c r="H15" s="3" t="s">
        <v>4</v>
      </c>
      <c r="I15" s="4">
        <v>469471.28058300982</v>
      </c>
    </row>
    <row r="16" spans="2:9" x14ac:dyDescent="0.3">
      <c r="B16" s="3" t="s">
        <v>24</v>
      </c>
      <c r="C16" s="4">
        <v>302231.47480687493</v>
      </c>
      <c r="E16" s="3" t="s">
        <v>14</v>
      </c>
      <c r="F16" s="8">
        <v>1433537.9287063803</v>
      </c>
      <c r="H16" s="3" t="s">
        <v>9</v>
      </c>
      <c r="I16" s="4">
        <v>470514.36982819514</v>
      </c>
    </row>
    <row r="17" spans="2:12" x14ac:dyDescent="0.3">
      <c r="B17" s="3" t="s">
        <v>25</v>
      </c>
      <c r="C17" s="4">
        <v>19981.587086744679</v>
      </c>
      <c r="H17" s="3" t="s">
        <v>14</v>
      </c>
      <c r="I17" s="4">
        <v>1787419.9204409744</v>
      </c>
    </row>
    <row r="18" spans="2:12" x14ac:dyDescent="0.3">
      <c r="B18" s="3" t="s">
        <v>14</v>
      </c>
      <c r="C18" s="4">
        <v>1787419.9204409744</v>
      </c>
    </row>
    <row r="20" spans="2:12" x14ac:dyDescent="0.3">
      <c r="B20" s="10" t="s">
        <v>31</v>
      </c>
      <c r="C20" s="10"/>
      <c r="E20" s="10" t="s">
        <v>32</v>
      </c>
      <c r="F20" s="10"/>
      <c r="H20" s="10" t="s">
        <v>33</v>
      </c>
      <c r="I20" s="10"/>
      <c r="K20" s="10" t="s">
        <v>34</v>
      </c>
      <c r="L20" s="10"/>
    </row>
    <row r="21" spans="2:12" x14ac:dyDescent="0.3">
      <c r="B21" s="1" t="s">
        <v>13</v>
      </c>
      <c r="C21" t="s">
        <v>2</v>
      </c>
      <c r="E21" s="1" t="s">
        <v>13</v>
      </c>
      <c r="F21" t="s">
        <v>1</v>
      </c>
      <c r="H21" s="1" t="s">
        <v>13</v>
      </c>
      <c r="I21" t="s">
        <v>2</v>
      </c>
      <c r="K21" s="1" t="s">
        <v>13</v>
      </c>
      <c r="L21" t="s">
        <v>1</v>
      </c>
    </row>
    <row r="22" spans="2:12" x14ac:dyDescent="0.3">
      <c r="B22" s="3" t="s">
        <v>20</v>
      </c>
      <c r="C22" s="9">
        <v>2391</v>
      </c>
      <c r="E22" s="3" t="s">
        <v>20</v>
      </c>
      <c r="F22" s="4">
        <v>59214.386209834942</v>
      </c>
      <c r="H22" s="3" t="s">
        <v>6</v>
      </c>
      <c r="I22" s="9">
        <v>3595</v>
      </c>
      <c r="K22" s="3" t="s">
        <v>3</v>
      </c>
      <c r="L22" s="8">
        <v>90082.119919967081</v>
      </c>
    </row>
    <row r="23" spans="2:12" x14ac:dyDescent="0.3">
      <c r="B23" s="3" t="s">
        <v>21</v>
      </c>
      <c r="C23" s="9">
        <v>4179</v>
      </c>
      <c r="E23" s="3" t="s">
        <v>21</v>
      </c>
      <c r="F23" s="11">
        <v>100575.78914084924</v>
      </c>
      <c r="H23" s="3" t="s">
        <v>3</v>
      </c>
      <c r="I23" s="9">
        <v>3641</v>
      </c>
      <c r="K23" s="3" t="s">
        <v>6</v>
      </c>
      <c r="L23" s="8">
        <v>90439.69779542886</v>
      </c>
    </row>
    <row r="24" spans="2:12" x14ac:dyDescent="0.3">
      <c r="B24" s="3" t="s">
        <v>22</v>
      </c>
      <c r="C24" s="9">
        <v>4242</v>
      </c>
      <c r="E24" s="3" t="s">
        <v>22</v>
      </c>
      <c r="F24" s="11">
        <v>106272.1753577627</v>
      </c>
      <c r="H24" s="3" t="s">
        <v>5</v>
      </c>
      <c r="I24" s="9">
        <v>3737</v>
      </c>
      <c r="K24" s="3" t="s">
        <v>8</v>
      </c>
      <c r="L24" s="8">
        <v>92065.220851218197</v>
      </c>
    </row>
    <row r="25" spans="2:12" x14ac:dyDescent="0.3">
      <c r="B25" s="3" t="s">
        <v>23</v>
      </c>
      <c r="C25" s="9">
        <v>4196</v>
      </c>
      <c r="E25" s="3" t="s">
        <v>23</v>
      </c>
      <c r="F25" s="11">
        <v>106976.43596976282</v>
      </c>
      <c r="H25" s="3" t="s">
        <v>7</v>
      </c>
      <c r="I25" s="9">
        <v>3777</v>
      </c>
      <c r="K25" s="3" t="s">
        <v>5</v>
      </c>
      <c r="L25" s="8">
        <v>92304.452141022572</v>
      </c>
    </row>
    <row r="26" spans="2:12" x14ac:dyDescent="0.3">
      <c r="B26" s="3" t="s">
        <v>24</v>
      </c>
      <c r="C26" s="9">
        <v>3070</v>
      </c>
      <c r="E26" s="3" t="s">
        <v>24</v>
      </c>
      <c r="F26" s="11">
        <v>75703.938014755637</v>
      </c>
      <c r="H26" s="3" t="s">
        <v>14</v>
      </c>
      <c r="I26" s="9">
        <v>14750</v>
      </c>
      <c r="K26" s="3" t="s">
        <v>14</v>
      </c>
      <c r="L26" s="8">
        <v>364891.49070763669</v>
      </c>
    </row>
    <row r="27" spans="2:12" x14ac:dyDescent="0.3">
      <c r="B27" s="3" t="s">
        <v>25</v>
      </c>
      <c r="C27" s="9">
        <v>220</v>
      </c>
      <c r="E27" s="3" t="s">
        <v>25</v>
      </c>
      <c r="F27" s="11">
        <v>5127.7124919612706</v>
      </c>
    </row>
    <row r="28" spans="2:12" x14ac:dyDescent="0.3">
      <c r="B28" s="3" t="s">
        <v>14</v>
      </c>
      <c r="C28" s="9">
        <v>18298</v>
      </c>
      <c r="E28" s="3" t="s">
        <v>14</v>
      </c>
      <c r="F28" s="11">
        <v>453870.43718492665</v>
      </c>
    </row>
  </sheetData>
  <mergeCells count="7">
    <mergeCell ref="K20:L20"/>
    <mergeCell ref="B10:C10"/>
    <mergeCell ref="E10:F10"/>
    <mergeCell ref="H10:I10"/>
    <mergeCell ref="B20:C20"/>
    <mergeCell ref="E20:F20"/>
    <mergeCell ref="H20:I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EA70-1DC5-495C-A731-DB2E155F7B4C}">
  <dimension ref="A1"/>
  <sheetViews>
    <sheetView showGridLines="0" tabSelected="1" topLeftCell="F1" zoomScale="80" zoomScaleNormal="80" workbookViewId="0">
      <selection activeCell="Z16" sqref="Z16"/>
    </sheetView>
  </sheetViews>
  <sheetFormatPr defaultRowHeight="14.4" x14ac:dyDescent="0.3"/>
  <cols>
    <col min="1" max="16384" width="8.796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D054B6AF-A25A-4A22-88FB-329577929EC6}">
  <ds:schemaRefs/>
</ds:datastoreItem>
</file>

<file path=customXml/itemProps2.xml><?xml version="1.0" encoding="utf-8"?>
<ds:datastoreItem xmlns:ds="http://schemas.openxmlformats.org/officeDocument/2006/customXml" ds:itemID="{987284A7-922D-4708-A159-A839C2906F1F}">
  <ds:schemaRefs/>
</ds:datastoreItem>
</file>

<file path=customXml/itemProps3.xml><?xml version="1.0" encoding="utf-8"?>
<ds:datastoreItem xmlns:ds="http://schemas.openxmlformats.org/officeDocument/2006/customXml" ds:itemID="{B579AAA2-C12E-4DED-88E9-E793ED661A29}">
  <ds:schemaRefs/>
</ds:datastoreItem>
</file>

<file path=customXml/itemProps4.xml><?xml version="1.0" encoding="utf-8"?>
<ds:datastoreItem xmlns:ds="http://schemas.openxmlformats.org/officeDocument/2006/customXml" ds:itemID="{453F6BEF-07D9-4871-B25F-E863A0D44DF1}">
  <ds:schemaRefs/>
</ds:datastoreItem>
</file>

<file path=customXml/itemProps5.xml><?xml version="1.0" encoding="utf-8"?>
<ds:datastoreItem xmlns:ds="http://schemas.openxmlformats.org/officeDocument/2006/customXml" ds:itemID="{68A409C9-E21E-463B-A9E8-F2E6BE4E6962}">
  <ds:schemaRefs/>
</ds:datastoreItem>
</file>

<file path=customXml/itemProps6.xml><?xml version="1.0" encoding="utf-8"?>
<ds:datastoreItem xmlns:ds="http://schemas.openxmlformats.org/officeDocument/2006/customXml" ds:itemID="{023E17C8-CE54-41AF-89E0-CABA3BDD1711}">
  <ds:schemaRefs/>
</ds:datastoreItem>
</file>

<file path=customXml/itemProps7.xml><?xml version="1.0" encoding="utf-8"?>
<ds:datastoreItem xmlns:ds="http://schemas.openxmlformats.org/officeDocument/2006/customXml" ds:itemID="{7000CF54-60A9-4FA0-ABDC-C57F252E7284}">
  <ds:schemaRefs/>
</ds:datastoreItem>
</file>

<file path=customXml/itemProps8.xml><?xml version="1.0" encoding="utf-8"?>
<ds:datastoreItem xmlns:ds="http://schemas.openxmlformats.org/officeDocument/2006/customXml" ds:itemID="{01AC7BA0-2E56-41B6-AC51-2872424C7FF1}">
  <ds:schemaRefs/>
</ds:datastoreItem>
</file>

<file path=customXml/itemProps9.xml><?xml version="1.0" encoding="utf-8"?>
<ds:datastoreItem xmlns:ds="http://schemas.openxmlformats.org/officeDocument/2006/customXml" ds:itemID="{2E9BA69A-BF01-47FE-918D-170394717A03}">
  <ds:schemaRefs/>
</ds:datastoreItem>
</file>

<file path=customXml/itemProps10.xml><?xml version="1.0" encoding="utf-8"?>
<ds:datastoreItem xmlns:ds="http://schemas.openxmlformats.org/officeDocument/2006/customXml" ds:itemID="{BC09C4CD-5D93-4DA8-9328-5917F575C02C}">
  <ds:schemaRefs/>
</ds:datastoreItem>
</file>

<file path=customXml/itemProps11.xml><?xml version="1.0" encoding="utf-8"?>
<ds:datastoreItem xmlns:ds="http://schemas.openxmlformats.org/officeDocument/2006/customXml" ds:itemID="{DCBACAA5-5172-4A0B-BB9A-E2B31CEFF6AF}">
  <ds:schemaRefs/>
</ds:datastoreItem>
</file>

<file path=customXml/itemProps12.xml><?xml version="1.0" encoding="utf-8"?>
<ds:datastoreItem xmlns:ds="http://schemas.openxmlformats.org/officeDocument/2006/customXml" ds:itemID="{2096D60D-3923-4AD4-85C7-EC9BEC4DE54B}">
  <ds:schemaRefs/>
</ds:datastoreItem>
</file>

<file path=customXml/itemProps13.xml><?xml version="1.0" encoding="utf-8"?>
<ds:datastoreItem xmlns:ds="http://schemas.openxmlformats.org/officeDocument/2006/customXml" ds:itemID="{F0F99803-DFFA-47BE-B5F1-48EC54E25047}">
  <ds:schemaRefs/>
</ds:datastoreItem>
</file>

<file path=customXml/itemProps14.xml><?xml version="1.0" encoding="utf-8"?>
<ds:datastoreItem xmlns:ds="http://schemas.openxmlformats.org/officeDocument/2006/customXml" ds:itemID="{870C346B-E33C-45D1-B72C-F7D375A9CDDE}">
  <ds:schemaRefs/>
</ds:datastoreItem>
</file>

<file path=customXml/itemProps15.xml><?xml version="1.0" encoding="utf-8"?>
<ds:datastoreItem xmlns:ds="http://schemas.openxmlformats.org/officeDocument/2006/customXml" ds:itemID="{0EE9136E-E1B9-42B2-9E7B-725E0835DC8C}">
  <ds:schemaRefs/>
</ds:datastoreItem>
</file>

<file path=customXml/itemProps16.xml><?xml version="1.0" encoding="utf-8"?>
<ds:datastoreItem xmlns:ds="http://schemas.openxmlformats.org/officeDocument/2006/customXml" ds:itemID="{D49B2FA9-7E93-4368-B3AE-7009A34D0A32}">
  <ds:schemaRefs/>
</ds:datastoreItem>
</file>

<file path=customXml/itemProps17.xml><?xml version="1.0" encoding="utf-8"?>
<ds:datastoreItem xmlns:ds="http://schemas.openxmlformats.org/officeDocument/2006/customXml" ds:itemID="{3303B7BF-57FE-4629-88F3-3095AB57C86E}">
  <ds:schemaRefs/>
</ds:datastoreItem>
</file>

<file path=customXml/itemProps18.xml><?xml version="1.0" encoding="utf-8"?>
<ds:datastoreItem xmlns:ds="http://schemas.openxmlformats.org/officeDocument/2006/customXml" ds:itemID="{3A9EF984-D8EB-4EB5-BE0C-D60DED9D2C28}">
  <ds:schemaRefs/>
</ds:datastoreItem>
</file>

<file path=customXml/itemProps19.xml><?xml version="1.0" encoding="utf-8"?>
<ds:datastoreItem xmlns:ds="http://schemas.openxmlformats.org/officeDocument/2006/customXml" ds:itemID="{40200661-0EF0-4C67-B1BD-640A2AB8D55B}">
  <ds:schemaRefs/>
</ds:datastoreItem>
</file>

<file path=customXml/itemProps20.xml><?xml version="1.0" encoding="utf-8"?>
<ds:datastoreItem xmlns:ds="http://schemas.openxmlformats.org/officeDocument/2006/customXml" ds:itemID="{34F71023-18AB-4A72-9573-0B373C2119DE}">
  <ds:schemaRefs>
    <ds:schemaRef ds:uri="http://schemas.microsoft.com/DataMashup"/>
  </ds:schemaRefs>
</ds:datastoreItem>
</file>

<file path=customXml/itemProps21.xml><?xml version="1.0" encoding="utf-8"?>
<ds:datastoreItem xmlns:ds="http://schemas.openxmlformats.org/officeDocument/2006/customXml" ds:itemID="{353C823C-F917-4580-949C-C13BBDF0F24C}">
  <ds:schemaRefs/>
</ds:datastoreItem>
</file>

<file path=customXml/itemProps22.xml><?xml version="1.0" encoding="utf-8"?>
<ds:datastoreItem xmlns:ds="http://schemas.openxmlformats.org/officeDocument/2006/customXml" ds:itemID="{737E1DE9-35A8-49D3-AFDB-AD16519A5C34}">
  <ds:schemaRefs/>
</ds:datastoreItem>
</file>

<file path=customXml/itemProps23.xml><?xml version="1.0" encoding="utf-8"?>
<ds:datastoreItem xmlns:ds="http://schemas.openxmlformats.org/officeDocument/2006/customXml" ds:itemID="{13841850-C043-4439-A9B0-DF4385BBE5F9}">
  <ds:schemaRefs/>
</ds:datastoreItem>
</file>

<file path=customXml/itemProps24.xml><?xml version="1.0" encoding="utf-8"?>
<ds:datastoreItem xmlns:ds="http://schemas.openxmlformats.org/officeDocument/2006/customXml" ds:itemID="{80987C33-47DB-4BB1-8E43-E12B21FBAD83}">
  <ds:schemaRefs/>
</ds:datastoreItem>
</file>

<file path=customXml/itemProps25.xml><?xml version="1.0" encoding="utf-8"?>
<ds:datastoreItem xmlns:ds="http://schemas.openxmlformats.org/officeDocument/2006/customXml" ds:itemID="{AE0D3CD5-059D-4F8D-9D0D-6A441BAFD6AE}">
  <ds:schemaRefs/>
</ds:datastoreItem>
</file>

<file path=customXml/itemProps26.xml><?xml version="1.0" encoding="utf-8"?>
<ds:datastoreItem xmlns:ds="http://schemas.openxmlformats.org/officeDocument/2006/customXml" ds:itemID="{88598A46-AFDF-488D-AB2F-768503EED4C2}">
  <ds:schemaRefs/>
</ds:datastoreItem>
</file>

<file path=customXml/itemProps27.xml><?xml version="1.0" encoding="utf-8"?>
<ds:datastoreItem xmlns:ds="http://schemas.openxmlformats.org/officeDocument/2006/customXml" ds:itemID="{E61BE71B-7C17-4D22-ABAE-F1A33745FF0F}">
  <ds:schemaRefs/>
</ds:datastoreItem>
</file>

<file path=customXml/itemProps28.xml><?xml version="1.0" encoding="utf-8"?>
<ds:datastoreItem xmlns:ds="http://schemas.openxmlformats.org/officeDocument/2006/customXml" ds:itemID="{B6AA8335-6C7B-442D-A83C-A14091E1EA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OHIOLE .</dc:creator>
  <cp:lastModifiedBy>OHIOLE .</cp:lastModifiedBy>
  <dcterms:created xsi:type="dcterms:W3CDTF">2026-05-06T13:16:28Z</dcterms:created>
  <dcterms:modified xsi:type="dcterms:W3CDTF">2026-05-07T08:55:39Z</dcterms:modified>
</cp:coreProperties>
</file>